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user\Desktop\EXCEL FULL PROJECT2026\"/>
    </mc:Choice>
  </mc:AlternateContent>
  <xr:revisionPtr revIDLastSave="0" documentId="13_ncr:1_{A2CB56DD-9BB3-48EB-A91D-6D7D86E204C7}" xr6:coauthVersionLast="47" xr6:coauthVersionMax="47" xr10:uidLastSave="{00000000-0000-0000-0000-000000000000}"/>
  <bookViews>
    <workbookView xWindow="-110" yWindow="-110" windowWidth="19420" windowHeight="11020" activeTab="1" xr2:uid="{E63D473C-C3A4-4F53-82C8-49C17DF62D16}"/>
  </bookViews>
  <sheets>
    <sheet name="Patient Data" sheetId="1" r:id="rId1"/>
    <sheet name="Dashboard" sheetId="3" r:id="rId2"/>
    <sheet name="Report" sheetId="2" r:id="rId3"/>
  </sheets>
  <definedNames>
    <definedName name="_xlnm._FilterDatabase" localSheetId="0" hidden="1">'Patient Data'!$A$1:$I$201</definedName>
    <definedName name="_xlchart.v2.0" hidden="1">Report!$A$18:$A$21</definedName>
    <definedName name="_xlchart.v2.1" hidden="1">Report!$B$18:$B$21</definedName>
    <definedName name="Slicer_Department">#N/A</definedName>
    <definedName name="Slicer_Doctor_Name">#N/A</definedName>
    <definedName name="Slicer_Gender">#N/A</definedName>
    <definedName name="Slicer_Treatment_Typ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2" l="1"/>
  <c r="D4" i="2"/>
  <c r="C4" i="2"/>
  <c r="B4" i="2"/>
  <c r="A4" i="2"/>
</calcChain>
</file>

<file path=xl/sharedStrings.xml><?xml version="1.0" encoding="utf-8"?>
<sst xmlns="http://schemas.openxmlformats.org/spreadsheetml/2006/main" count="1478" uniqueCount="256">
  <si>
    <t>Patient ID</t>
  </si>
  <si>
    <t>Department</t>
  </si>
  <si>
    <t>Treatment Type</t>
  </si>
  <si>
    <t>Doctor Name</t>
  </si>
  <si>
    <t>Gender</t>
  </si>
  <si>
    <t>Age</t>
  </si>
  <si>
    <t>Treatment Cost</t>
  </si>
  <si>
    <t>Hospital Stay (Days)</t>
  </si>
  <si>
    <t>Recovery Score</t>
  </si>
  <si>
    <t>P1001</t>
  </si>
  <si>
    <t>Gastroenterology</t>
  </si>
  <si>
    <t>Therapy</t>
  </si>
  <si>
    <t>Dr. L. Khan</t>
  </si>
  <si>
    <t>Female</t>
  </si>
  <si>
    <t>P1002</t>
  </si>
  <si>
    <t>Pediatrics</t>
  </si>
  <si>
    <t>Medication</t>
  </si>
  <si>
    <t>Dr. M. Patel</t>
  </si>
  <si>
    <t>Male</t>
  </si>
  <si>
    <t>P1003</t>
  </si>
  <si>
    <t>P1004</t>
  </si>
  <si>
    <t>P1005</t>
  </si>
  <si>
    <t>Orthopedics</t>
  </si>
  <si>
    <t>Dr. T. Mehta</t>
  </si>
  <si>
    <t>P1006</t>
  </si>
  <si>
    <t>Cardiology</t>
  </si>
  <si>
    <t>Dr. A. Sharma</t>
  </si>
  <si>
    <t>P1007</t>
  </si>
  <si>
    <t>Observation</t>
  </si>
  <si>
    <t>Other</t>
  </si>
  <si>
    <t>P1008</t>
  </si>
  <si>
    <t>Neurology</t>
  </si>
  <si>
    <t>Dr. R. Singh</t>
  </si>
  <si>
    <t>P1009</t>
  </si>
  <si>
    <t>P1010</t>
  </si>
  <si>
    <t>P1011</t>
  </si>
  <si>
    <t>Oncology</t>
  </si>
  <si>
    <t>P1012</t>
  </si>
  <si>
    <t>P1013</t>
  </si>
  <si>
    <t>P1014</t>
  </si>
  <si>
    <t>P1015</t>
  </si>
  <si>
    <t>Surgery</t>
  </si>
  <si>
    <t>P1016</t>
  </si>
  <si>
    <t>P1017</t>
  </si>
  <si>
    <t>P1018</t>
  </si>
  <si>
    <t>P1019</t>
  </si>
  <si>
    <t>P1020</t>
  </si>
  <si>
    <t>P1021</t>
  </si>
  <si>
    <t>P1022</t>
  </si>
  <si>
    <t>P1023</t>
  </si>
  <si>
    <t>P1024</t>
  </si>
  <si>
    <t>P1025</t>
  </si>
  <si>
    <t>P1026</t>
  </si>
  <si>
    <t>P1027</t>
  </si>
  <si>
    <t>P1028</t>
  </si>
  <si>
    <t>P1029</t>
  </si>
  <si>
    <t>P1030</t>
  </si>
  <si>
    <t>P1031</t>
  </si>
  <si>
    <t>P1032</t>
  </si>
  <si>
    <t>P1033</t>
  </si>
  <si>
    <t>P1034</t>
  </si>
  <si>
    <t>P1035</t>
  </si>
  <si>
    <t>P1036</t>
  </si>
  <si>
    <t>P1037</t>
  </si>
  <si>
    <t>P1038</t>
  </si>
  <si>
    <t>P1039</t>
  </si>
  <si>
    <t>P1040</t>
  </si>
  <si>
    <t>P1041</t>
  </si>
  <si>
    <t>P1042</t>
  </si>
  <si>
    <t>P1043</t>
  </si>
  <si>
    <t>P1044</t>
  </si>
  <si>
    <t>P1045</t>
  </si>
  <si>
    <t>P1046</t>
  </si>
  <si>
    <t>P1047</t>
  </si>
  <si>
    <t>P1048</t>
  </si>
  <si>
    <t>P1049</t>
  </si>
  <si>
    <t>P1050</t>
  </si>
  <si>
    <t>P1051</t>
  </si>
  <si>
    <t>P1052</t>
  </si>
  <si>
    <t>P1053</t>
  </si>
  <si>
    <t>P1054</t>
  </si>
  <si>
    <t>P1055</t>
  </si>
  <si>
    <t>P1056</t>
  </si>
  <si>
    <t>P1057</t>
  </si>
  <si>
    <t>P1058</t>
  </si>
  <si>
    <t>P1059</t>
  </si>
  <si>
    <t>P1060</t>
  </si>
  <si>
    <t>P1061</t>
  </si>
  <si>
    <t>P1062</t>
  </si>
  <si>
    <t>P1063</t>
  </si>
  <si>
    <t>P1064</t>
  </si>
  <si>
    <t>P1065</t>
  </si>
  <si>
    <t>P1066</t>
  </si>
  <si>
    <t>P1067</t>
  </si>
  <si>
    <t>P1068</t>
  </si>
  <si>
    <t>P1069</t>
  </si>
  <si>
    <t>P1070</t>
  </si>
  <si>
    <t>P1071</t>
  </si>
  <si>
    <t>P1072</t>
  </si>
  <si>
    <t>P1073</t>
  </si>
  <si>
    <t>P1074</t>
  </si>
  <si>
    <t>P1075</t>
  </si>
  <si>
    <t>P1076</t>
  </si>
  <si>
    <t>P1077</t>
  </si>
  <si>
    <t>P1078</t>
  </si>
  <si>
    <t>P1079</t>
  </si>
  <si>
    <t>P1080</t>
  </si>
  <si>
    <t>P1081</t>
  </si>
  <si>
    <t>P1082</t>
  </si>
  <si>
    <t>P1083</t>
  </si>
  <si>
    <t>P1084</t>
  </si>
  <si>
    <t>P1085</t>
  </si>
  <si>
    <t>P1086</t>
  </si>
  <si>
    <t>P1087</t>
  </si>
  <si>
    <t>P1088</t>
  </si>
  <si>
    <t>P1089</t>
  </si>
  <si>
    <t>P1090</t>
  </si>
  <si>
    <t>P1091</t>
  </si>
  <si>
    <t>P1092</t>
  </si>
  <si>
    <t>P1093</t>
  </si>
  <si>
    <t>P1094</t>
  </si>
  <si>
    <t>P1095</t>
  </si>
  <si>
    <t>P1096</t>
  </si>
  <si>
    <t>P1097</t>
  </si>
  <si>
    <t>P1098</t>
  </si>
  <si>
    <t>P1099</t>
  </si>
  <si>
    <t>P1100</t>
  </si>
  <si>
    <t>P1101</t>
  </si>
  <si>
    <t>P1102</t>
  </si>
  <si>
    <t>P1103</t>
  </si>
  <si>
    <t>P1104</t>
  </si>
  <si>
    <t>P1105</t>
  </si>
  <si>
    <t>P1106</t>
  </si>
  <si>
    <t>P1107</t>
  </si>
  <si>
    <t>P1108</t>
  </si>
  <si>
    <t>P1109</t>
  </si>
  <si>
    <t>P1110</t>
  </si>
  <si>
    <t>P1111</t>
  </si>
  <si>
    <t>P1112</t>
  </si>
  <si>
    <t>P1113</t>
  </si>
  <si>
    <t>P1114</t>
  </si>
  <si>
    <t>P1115</t>
  </si>
  <si>
    <t>P1116</t>
  </si>
  <si>
    <t>P1117</t>
  </si>
  <si>
    <t>P1118</t>
  </si>
  <si>
    <t>P1119</t>
  </si>
  <si>
    <t>P1120</t>
  </si>
  <si>
    <t>P1121</t>
  </si>
  <si>
    <t>P1122</t>
  </si>
  <si>
    <t>P1123</t>
  </si>
  <si>
    <t>P1124</t>
  </si>
  <si>
    <t>P1125</t>
  </si>
  <si>
    <t>P1126</t>
  </si>
  <si>
    <t>P1127</t>
  </si>
  <si>
    <t>P1128</t>
  </si>
  <si>
    <t>P1129</t>
  </si>
  <si>
    <t>P1130</t>
  </si>
  <si>
    <t>P1131</t>
  </si>
  <si>
    <t>P1132</t>
  </si>
  <si>
    <t>P1133</t>
  </si>
  <si>
    <t>P1134</t>
  </si>
  <si>
    <t>P1135</t>
  </si>
  <si>
    <t>P1136</t>
  </si>
  <si>
    <t>P1137</t>
  </si>
  <si>
    <t>P1138</t>
  </si>
  <si>
    <t>P1139</t>
  </si>
  <si>
    <t>P1140</t>
  </si>
  <si>
    <t>P1141</t>
  </si>
  <si>
    <t>P1142</t>
  </si>
  <si>
    <t>P1143</t>
  </si>
  <si>
    <t>P1144</t>
  </si>
  <si>
    <t>P1145</t>
  </si>
  <si>
    <t>P1146</t>
  </si>
  <si>
    <t>P1147</t>
  </si>
  <si>
    <t>P1148</t>
  </si>
  <si>
    <t>P1149</t>
  </si>
  <si>
    <t>P1150</t>
  </si>
  <si>
    <t>P1151</t>
  </si>
  <si>
    <t>P1152</t>
  </si>
  <si>
    <t>P1153</t>
  </si>
  <si>
    <t>P1154</t>
  </si>
  <si>
    <t>P1155</t>
  </si>
  <si>
    <t>P1156</t>
  </si>
  <si>
    <t>P1157</t>
  </si>
  <si>
    <t>P1158</t>
  </si>
  <si>
    <t>P1159</t>
  </si>
  <si>
    <t>P1160</t>
  </si>
  <si>
    <t>P1161</t>
  </si>
  <si>
    <t>P1162</t>
  </si>
  <si>
    <t>P1163</t>
  </si>
  <si>
    <t>P1164</t>
  </si>
  <si>
    <t>P1165</t>
  </si>
  <si>
    <t>P1166</t>
  </si>
  <si>
    <t>P1167</t>
  </si>
  <si>
    <t>P1168</t>
  </si>
  <si>
    <t>P1169</t>
  </si>
  <si>
    <t>P1170</t>
  </si>
  <si>
    <t>P1171</t>
  </si>
  <si>
    <t>P1172</t>
  </si>
  <si>
    <t>P1173</t>
  </si>
  <si>
    <t>P1174</t>
  </si>
  <si>
    <t>P1175</t>
  </si>
  <si>
    <t>P1176</t>
  </si>
  <si>
    <t>P1177</t>
  </si>
  <si>
    <t>P1178</t>
  </si>
  <si>
    <t>P1179</t>
  </si>
  <si>
    <t>P1180</t>
  </si>
  <si>
    <t>P1181</t>
  </si>
  <si>
    <t>P1182</t>
  </si>
  <si>
    <t>P1183</t>
  </si>
  <si>
    <t>P1184</t>
  </si>
  <si>
    <t>P1185</t>
  </si>
  <si>
    <t>P1186</t>
  </si>
  <si>
    <t>P1187</t>
  </si>
  <si>
    <t>P1188</t>
  </si>
  <si>
    <t>P1189</t>
  </si>
  <si>
    <t>P1190</t>
  </si>
  <si>
    <t>P1191</t>
  </si>
  <si>
    <t>P1192</t>
  </si>
  <si>
    <t>P1193</t>
  </si>
  <si>
    <t>P1194</t>
  </si>
  <si>
    <t>P1195</t>
  </si>
  <si>
    <t>P1196</t>
  </si>
  <si>
    <t>P1197</t>
  </si>
  <si>
    <t>P1198</t>
  </si>
  <si>
    <t>P1199</t>
  </si>
  <si>
    <t>P1200</t>
  </si>
  <si>
    <t>Cost Category</t>
  </si>
  <si>
    <t>Age Group</t>
  </si>
  <si>
    <t>AgeGrp Code</t>
  </si>
  <si>
    <t>Medium Cost</t>
  </si>
  <si>
    <t>Child</t>
  </si>
  <si>
    <t>Low Cost</t>
  </si>
  <si>
    <t>Middle-aged</t>
  </si>
  <si>
    <t>Elderly</t>
  </si>
  <si>
    <t>High Cost</t>
  </si>
  <si>
    <t>Young Adult</t>
  </si>
  <si>
    <t>Adult</t>
  </si>
  <si>
    <t>Senior</t>
  </si>
  <si>
    <t>Teenager</t>
  </si>
  <si>
    <t>Infant / Toddler</t>
  </si>
  <si>
    <t>Average of Age</t>
  </si>
  <si>
    <t>Average Treatment Cost</t>
  </si>
  <si>
    <t>Total Patients</t>
  </si>
  <si>
    <t>Average Hospital Stay (Days)</t>
  </si>
  <si>
    <t>Average Recovery Score</t>
  </si>
  <si>
    <t>Average of Recovery Score by Department</t>
  </si>
  <si>
    <t>Row Labels</t>
  </si>
  <si>
    <t>Grand Total</t>
  </si>
  <si>
    <t>Minimum Recovery Score</t>
  </si>
  <si>
    <t>Maximum Recovery Score</t>
  </si>
  <si>
    <t>Average Recovery by Treatment Type</t>
  </si>
  <si>
    <t>Doctors</t>
  </si>
  <si>
    <t>Average Recovery Score by Cost Category</t>
  </si>
  <si>
    <t>Average Recovery Score by Gender</t>
  </si>
  <si>
    <t>Average Recovery Score by Age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</si>
</sst>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_-[$$-409]* #,##0.00_ ;_-[$$-409]* \-#,##0.00\ ;_-[$$-409]* &quot;-&quot;??_ ;_-@_ "/>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0" fillId="0" borderId="0" xfId="0" pivotButton="1"/>
    <xf numFmtId="164" fontId="16" fillId="0" borderId="0" xfId="0" applyNumberFormat="1" applyFont="1" applyAlignment="1">
      <alignment horizontal="center"/>
    </xf>
    <xf numFmtId="1" fontId="16" fillId="0" borderId="0" xfId="0" applyNumberFormat="1" applyFont="1" applyAlignment="1">
      <alignment horizontal="center"/>
    </xf>
    <xf numFmtId="165" fontId="16" fillId="0" borderId="0" xfId="0" applyNumberFormat="1" applyFont="1" applyAlignment="1">
      <alignment horizontal="center"/>
    </xf>
    <xf numFmtId="0" fontId="16" fillId="0" borderId="0" xfId="0" applyFont="1"/>
    <xf numFmtId="1" fontId="16" fillId="0" borderId="0" xfId="0" applyNumberFormat="1" applyFont="1"/>
    <xf numFmtId="164" fontId="16" fillId="0" borderId="0" xfId="0" applyNumberFormat="1" applyFont="1"/>
    <xf numFmtId="0" fontId="0" fillId="0" borderId="0" xfId="0" applyAlignment="1">
      <alignment horizontal="left"/>
    </xf>
    <xf numFmtId="165" fontId="16" fillId="0" borderId="0" xfId="0" applyNumberFormat="1" applyFont="1"/>
    <xf numFmtId="164" fontId="0" fillId="0" borderId="0" xfId="0" applyNumberFormat="1"/>
    <xf numFmtId="0" fontId="16" fillId="0" borderId="10" xfId="0" applyFont="1" applyBorder="1"/>
    <xf numFmtId="0" fontId="16" fillId="33" borderId="10" xfId="0" applyFont="1" applyFill="1" applyBorder="1"/>
    <xf numFmtId="0" fontId="16"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5">
    <dxf>
      <numFmt numFmtId="164" formatCode="0.0"/>
    </dxf>
    <dxf>
      <alignment horizontal="center"/>
    </dxf>
    <dxf>
      <font>
        <b/>
      </font>
    </dxf>
    <dxf>
      <font>
        <b/>
      </font>
    </dxf>
    <dxf>
      <numFmt numFmtId="164" formatCode="0.0"/>
    </dxf>
    <dxf>
      <alignment horizontal="center"/>
    </dxf>
    <dxf>
      <font>
        <b/>
      </font>
    </dxf>
    <dxf>
      <numFmt numFmtId="165" formatCode="_-[$$-409]* #,##0.00_ ;_-[$$-409]* \-#,##0.00\ ;_-[$$-409]* &quot;-&quot;??_ ;_-@_ "/>
    </dxf>
    <dxf>
      <alignment horizontal="center"/>
    </dxf>
    <dxf>
      <font>
        <b/>
      </font>
    </dxf>
    <dxf>
      <numFmt numFmtId="164" formatCode="0.0"/>
    </dxf>
    <dxf>
      <alignment horizontal="center"/>
    </dxf>
    <dxf>
      <font>
        <b/>
      </font>
    </dxf>
    <dxf>
      <numFmt numFmtId="1" formatCode="0"/>
    </dxf>
    <dxf>
      <alignment horizontal="center"/>
    </dxf>
    <dxf>
      <font>
        <b/>
      </font>
    </dxf>
    <dxf>
      <numFmt numFmtId="1" formatCode="0"/>
    </dxf>
    <dxf>
      <numFmt numFmtId="1" formatCode="0"/>
    </dxf>
    <dxf>
      <numFmt numFmtId="164" formatCode="0.0"/>
    </dxf>
    <dxf>
      <alignment horizontal="center"/>
    </dxf>
    <dxf>
      <font>
        <b/>
      </font>
    </dxf>
    <dxf>
      <numFmt numFmtId="164" formatCode="0.0"/>
    </dxf>
    <dxf>
      <alignment horizontal="center"/>
    </dxf>
    <dxf>
      <font>
        <b/>
      </font>
    </dxf>
    <dxf>
      <numFmt numFmtId="1" formatCode="0"/>
    </dxf>
    <dxf>
      <alignment horizontal="center"/>
    </dxf>
    <dxf>
      <font>
        <b/>
      </font>
    </dxf>
    <dxf>
      <alignment horizontal="center"/>
    </dxf>
    <dxf>
      <font>
        <b/>
      </font>
    </dxf>
    <dxf>
      <numFmt numFmtId="164" formatCode="0.0"/>
    </dxf>
    <dxf>
      <alignment horizontal="center"/>
    </dxf>
    <dxf>
      <font>
        <b/>
      </font>
    </dxf>
    <dxf>
      <numFmt numFmtId="0" formatCode="General"/>
    </dxf>
    <dxf>
      <numFmt numFmtId="0" formatCode="General"/>
    </dxf>
    <dxf>
      <numFmt numFmtId="0" formatCode="General"/>
    </dxf>
  </dxfs>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[Patient Data.xlsx]Report!PivotTable6</c:name>
    <c:fmtId val="4"/>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rw-RW" sz="900">
                <a:latin typeface="Aharoni" panose="02010803020104030203" pitchFamily="2" charset="-79"/>
                <a:cs typeface="Aharoni" panose="02010803020104030203" pitchFamily="2" charset="-79"/>
              </a:rPr>
              <a:t>Avg</a:t>
            </a:r>
            <a:r>
              <a:rPr lang="rw-RW" sz="900" baseline="0">
                <a:latin typeface="Aharoni" panose="02010803020104030203" pitchFamily="2" charset="-79"/>
                <a:cs typeface="Aharoni" panose="02010803020104030203" pitchFamily="2" charset="-79"/>
              </a:rPr>
              <a:t> Recovery Score by Department</a:t>
            </a:r>
            <a:endParaRPr lang="rw-RW" sz="900">
              <a:latin typeface="Aharoni" panose="02010803020104030203" pitchFamily="2" charset="-79"/>
              <a:cs typeface="Aharoni" panose="02010803020104030203" pitchFamily="2" charset="-79"/>
            </a:endParaRP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rw-RW"/>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W"/>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W"/>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W"/>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W"/>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W"/>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W"/>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W"/>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W"/>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W"/>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143995664509541E-2"/>
          <c:y val="0.16276729559748429"/>
          <c:w val="0.60251649717874334"/>
          <c:h val="0.43649730104491657"/>
        </c:manualLayout>
      </c:layout>
      <c:barChart>
        <c:barDir val="col"/>
        <c:grouping val="clustered"/>
        <c:varyColors val="0"/>
        <c:ser>
          <c:idx val="0"/>
          <c:order val="0"/>
          <c:tx>
            <c:strRef>
              <c:f>Report!$B$7</c:f>
              <c:strCache>
                <c:ptCount val="1"/>
                <c:pt idx="0">
                  <c:v>Average Recovery Score</c:v>
                </c:pt>
              </c:strCache>
            </c:strRef>
          </c:tx>
          <c:spPr>
            <a:solidFill>
              <a:schemeClr val="accent1"/>
            </a:solidFill>
            <a:ln>
              <a:noFill/>
            </a:ln>
            <a:effectLst/>
          </c:spPr>
          <c:invertIfNegative val="0"/>
          <c:cat>
            <c:strRef>
              <c:f>Report!$A$8:$A$14</c:f>
              <c:strCache>
                <c:ptCount val="6"/>
                <c:pt idx="0">
                  <c:v>Pediatrics</c:v>
                </c:pt>
                <c:pt idx="1">
                  <c:v>Oncology</c:v>
                </c:pt>
                <c:pt idx="2">
                  <c:v>Gastroenterology</c:v>
                </c:pt>
                <c:pt idx="3">
                  <c:v>Cardiology</c:v>
                </c:pt>
                <c:pt idx="4">
                  <c:v>Orthopedics</c:v>
                </c:pt>
                <c:pt idx="5">
                  <c:v>Neurology</c:v>
                </c:pt>
              </c:strCache>
            </c:strRef>
          </c:cat>
          <c:val>
            <c:numRef>
              <c:f>Report!$B$8:$B$14</c:f>
              <c:numCache>
                <c:formatCode>0.0</c:formatCode>
                <c:ptCount val="6"/>
                <c:pt idx="0">
                  <c:v>73.131578947368425</c:v>
                </c:pt>
                <c:pt idx="1">
                  <c:v>72.41935483870968</c:v>
                </c:pt>
                <c:pt idx="2">
                  <c:v>71.804878048780495</c:v>
                </c:pt>
                <c:pt idx="3">
                  <c:v>70.5</c:v>
                </c:pt>
                <c:pt idx="4">
                  <c:v>67.263157894736835</c:v>
                </c:pt>
                <c:pt idx="5">
                  <c:v>66.392857142857139</c:v>
                </c:pt>
              </c:numCache>
            </c:numRef>
          </c:val>
          <c:extLst>
            <c:ext xmlns:c16="http://schemas.microsoft.com/office/drawing/2014/chart" uri="{C3380CC4-5D6E-409C-BE32-E72D297353CC}">
              <c16:uniqueId val="{00000000-E236-4DF4-B194-53C390F89DC5}"/>
            </c:ext>
          </c:extLst>
        </c:ser>
        <c:ser>
          <c:idx val="1"/>
          <c:order val="1"/>
          <c:tx>
            <c:strRef>
              <c:f>Report!$C$7</c:f>
              <c:strCache>
                <c:ptCount val="1"/>
                <c:pt idx="0">
                  <c:v>Minimum Recovery Score</c:v>
                </c:pt>
              </c:strCache>
            </c:strRef>
          </c:tx>
          <c:spPr>
            <a:solidFill>
              <a:schemeClr val="accent2"/>
            </a:solidFill>
            <a:ln>
              <a:noFill/>
            </a:ln>
            <a:effectLst/>
          </c:spPr>
          <c:invertIfNegative val="0"/>
          <c:cat>
            <c:strRef>
              <c:f>Report!$A$8:$A$14</c:f>
              <c:strCache>
                <c:ptCount val="6"/>
                <c:pt idx="0">
                  <c:v>Pediatrics</c:v>
                </c:pt>
                <c:pt idx="1">
                  <c:v>Oncology</c:v>
                </c:pt>
                <c:pt idx="2">
                  <c:v>Gastroenterology</c:v>
                </c:pt>
                <c:pt idx="3">
                  <c:v>Cardiology</c:v>
                </c:pt>
                <c:pt idx="4">
                  <c:v>Orthopedics</c:v>
                </c:pt>
                <c:pt idx="5">
                  <c:v>Neurology</c:v>
                </c:pt>
              </c:strCache>
            </c:strRef>
          </c:cat>
          <c:val>
            <c:numRef>
              <c:f>Report!$C$8:$C$14</c:f>
              <c:numCache>
                <c:formatCode>0</c:formatCode>
                <c:ptCount val="6"/>
                <c:pt idx="0">
                  <c:v>42</c:v>
                </c:pt>
                <c:pt idx="1">
                  <c:v>41</c:v>
                </c:pt>
                <c:pt idx="2">
                  <c:v>40</c:v>
                </c:pt>
                <c:pt idx="3">
                  <c:v>41</c:v>
                </c:pt>
                <c:pt idx="4">
                  <c:v>40</c:v>
                </c:pt>
                <c:pt idx="5">
                  <c:v>40</c:v>
                </c:pt>
              </c:numCache>
            </c:numRef>
          </c:val>
          <c:extLst>
            <c:ext xmlns:c16="http://schemas.microsoft.com/office/drawing/2014/chart" uri="{C3380CC4-5D6E-409C-BE32-E72D297353CC}">
              <c16:uniqueId val="{00000001-E236-4DF4-B194-53C390F89DC5}"/>
            </c:ext>
          </c:extLst>
        </c:ser>
        <c:ser>
          <c:idx val="2"/>
          <c:order val="2"/>
          <c:tx>
            <c:strRef>
              <c:f>Report!$D$7</c:f>
              <c:strCache>
                <c:ptCount val="1"/>
                <c:pt idx="0">
                  <c:v>Maximum Recovery Score</c:v>
                </c:pt>
              </c:strCache>
            </c:strRef>
          </c:tx>
          <c:spPr>
            <a:solidFill>
              <a:schemeClr val="accent3"/>
            </a:solidFill>
            <a:ln>
              <a:noFill/>
            </a:ln>
            <a:effectLst/>
          </c:spPr>
          <c:invertIfNegative val="0"/>
          <c:cat>
            <c:strRef>
              <c:f>Report!$A$8:$A$14</c:f>
              <c:strCache>
                <c:ptCount val="6"/>
                <c:pt idx="0">
                  <c:v>Pediatrics</c:v>
                </c:pt>
                <c:pt idx="1">
                  <c:v>Oncology</c:v>
                </c:pt>
                <c:pt idx="2">
                  <c:v>Gastroenterology</c:v>
                </c:pt>
                <c:pt idx="3">
                  <c:v>Cardiology</c:v>
                </c:pt>
                <c:pt idx="4">
                  <c:v>Orthopedics</c:v>
                </c:pt>
                <c:pt idx="5">
                  <c:v>Neurology</c:v>
                </c:pt>
              </c:strCache>
            </c:strRef>
          </c:cat>
          <c:val>
            <c:numRef>
              <c:f>Report!$D$8:$D$14</c:f>
              <c:numCache>
                <c:formatCode>0</c:formatCode>
                <c:ptCount val="6"/>
                <c:pt idx="0">
                  <c:v>100</c:v>
                </c:pt>
                <c:pt idx="1">
                  <c:v>99</c:v>
                </c:pt>
                <c:pt idx="2">
                  <c:v>99</c:v>
                </c:pt>
                <c:pt idx="3">
                  <c:v>96</c:v>
                </c:pt>
                <c:pt idx="4">
                  <c:v>99</c:v>
                </c:pt>
                <c:pt idx="5">
                  <c:v>96</c:v>
                </c:pt>
              </c:numCache>
            </c:numRef>
          </c:val>
          <c:extLst>
            <c:ext xmlns:c16="http://schemas.microsoft.com/office/drawing/2014/chart" uri="{C3380CC4-5D6E-409C-BE32-E72D297353CC}">
              <c16:uniqueId val="{00000002-E236-4DF4-B194-53C390F89DC5}"/>
            </c:ext>
          </c:extLst>
        </c:ser>
        <c:dLbls>
          <c:showLegendKey val="0"/>
          <c:showVal val="0"/>
          <c:showCatName val="0"/>
          <c:showSerName val="0"/>
          <c:showPercent val="0"/>
          <c:showBubbleSize val="0"/>
        </c:dLbls>
        <c:gapWidth val="199"/>
        <c:axId val="217478928"/>
        <c:axId val="217481808"/>
      </c:barChart>
      <c:catAx>
        <c:axId val="217478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MW"/>
          </a:p>
        </c:txPr>
        <c:crossAx val="217481808"/>
        <c:crosses val="autoZero"/>
        <c:auto val="1"/>
        <c:lblAlgn val="ctr"/>
        <c:lblOffset val="100"/>
        <c:noMultiLvlLbl val="0"/>
      </c:catAx>
      <c:valAx>
        <c:axId val="217481808"/>
        <c:scaling>
          <c:orientation val="minMax"/>
        </c:scaling>
        <c:delete val="1"/>
        <c:axPos val="l"/>
        <c:numFmt formatCode="0.0" sourceLinked="1"/>
        <c:majorTickMark val="none"/>
        <c:minorTickMark val="none"/>
        <c:tickLblPos val="nextTo"/>
        <c:crossAx val="217478928"/>
        <c:crosses val="autoZero"/>
        <c:crossBetween val="between"/>
      </c:valAx>
      <c:spPr>
        <a:noFill/>
        <a:ln>
          <a:noFill/>
        </a:ln>
        <a:effectLst/>
      </c:spPr>
    </c:plotArea>
    <c:legend>
      <c:legendPos val="r"/>
      <c:layout>
        <c:manualLayout>
          <c:xMode val="edge"/>
          <c:yMode val="edge"/>
          <c:x val="0.70882909879180078"/>
          <c:y val="0.23787550141138014"/>
          <c:w val="0.26127259396219199"/>
          <c:h val="0.654314366364581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M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M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[Patient Data.xlsx]Report!PivotTable11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a:latin typeface="Aharoni" panose="02010803020104030203" pitchFamily="2" charset="-79"/>
                <a:cs typeface="Aharoni" panose="02010803020104030203" pitchFamily="2" charset="-79"/>
              </a:rPr>
              <a:t>Average Recovery Score by Doctors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MW"/>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MW"/>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MW"/>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MW"/>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Report!$H$2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MW"/>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Report!$G$3:$G$8</c:f>
              <c:strCache>
                <c:ptCount val="5"/>
                <c:pt idx="0">
                  <c:v>Dr. R. Singh</c:v>
                </c:pt>
                <c:pt idx="1">
                  <c:v>Dr. T. Mehta</c:v>
                </c:pt>
                <c:pt idx="2">
                  <c:v>Dr. A. Sharma</c:v>
                </c:pt>
                <c:pt idx="3">
                  <c:v>Dr. L. Khan</c:v>
                </c:pt>
                <c:pt idx="4">
                  <c:v>Dr. M. Patel</c:v>
                </c:pt>
              </c:strCache>
            </c:strRef>
          </c:cat>
          <c:val>
            <c:numRef>
              <c:f>Report!$H$3:$H$8</c:f>
              <c:numCache>
                <c:formatCode>0.0</c:formatCode>
                <c:ptCount val="5"/>
                <c:pt idx="0">
                  <c:v>67.75555555555556</c:v>
                </c:pt>
                <c:pt idx="1">
                  <c:v>67.921052631578945</c:v>
                </c:pt>
                <c:pt idx="2">
                  <c:v>70.2</c:v>
                </c:pt>
                <c:pt idx="3">
                  <c:v>72.521739130434781</c:v>
                </c:pt>
                <c:pt idx="4">
                  <c:v>73.243902439024396</c:v>
                </c:pt>
              </c:numCache>
            </c:numRef>
          </c:val>
          <c:extLst>
            <c:ext xmlns:c16="http://schemas.microsoft.com/office/drawing/2014/chart" uri="{C3380CC4-5D6E-409C-BE32-E72D297353CC}">
              <c16:uniqueId val="{00000000-5225-4D6E-B809-0E8AA9121926}"/>
            </c:ext>
          </c:extLst>
        </c:ser>
        <c:dLbls>
          <c:dLblPos val="outEnd"/>
          <c:showLegendKey val="0"/>
          <c:showVal val="1"/>
          <c:showCatName val="0"/>
          <c:showSerName val="0"/>
          <c:showPercent val="0"/>
          <c:showBubbleSize val="0"/>
        </c:dLbls>
        <c:gapWidth val="182"/>
        <c:axId val="1198368783"/>
        <c:axId val="1198371183"/>
      </c:barChart>
      <c:catAx>
        <c:axId val="1198368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MW"/>
          </a:p>
        </c:txPr>
        <c:crossAx val="1198371183"/>
        <c:crosses val="autoZero"/>
        <c:auto val="1"/>
        <c:lblAlgn val="ctr"/>
        <c:lblOffset val="100"/>
        <c:noMultiLvlLbl val="0"/>
      </c:catAx>
      <c:valAx>
        <c:axId val="1198371183"/>
        <c:scaling>
          <c:orientation val="minMax"/>
        </c:scaling>
        <c:delete val="1"/>
        <c:axPos val="b"/>
        <c:numFmt formatCode="0.0" sourceLinked="1"/>
        <c:majorTickMark val="none"/>
        <c:minorTickMark val="none"/>
        <c:tickLblPos val="nextTo"/>
        <c:crossAx val="1198368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M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[Patient Data.xlsx]Report!PivotTable12</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900">
                <a:latin typeface="Aharoni" panose="02010803020104030203" pitchFamily="2" charset="-79"/>
                <a:cs typeface="Aharoni" panose="02010803020104030203" pitchFamily="2" charset="-79"/>
              </a:rPr>
              <a:t>Average Recovery Score by Cost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MW"/>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MW"/>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MW"/>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MW"/>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Report!$H$11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MW"/>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Report!$G$12:$G$15</c:f>
              <c:strCache>
                <c:ptCount val="3"/>
                <c:pt idx="0">
                  <c:v>High Cost</c:v>
                </c:pt>
                <c:pt idx="1">
                  <c:v>Low Cost</c:v>
                </c:pt>
                <c:pt idx="2">
                  <c:v>Medium Cost</c:v>
                </c:pt>
              </c:strCache>
            </c:strRef>
          </c:cat>
          <c:val>
            <c:numRef>
              <c:f>Report!$H$12:$H$15</c:f>
              <c:numCache>
                <c:formatCode>0.0</c:formatCode>
                <c:ptCount val="3"/>
                <c:pt idx="0">
                  <c:v>73.014492753623188</c:v>
                </c:pt>
                <c:pt idx="1">
                  <c:v>68.661290322580641</c:v>
                </c:pt>
                <c:pt idx="2">
                  <c:v>69.275362318840578</c:v>
                </c:pt>
              </c:numCache>
            </c:numRef>
          </c:val>
          <c:extLst>
            <c:ext xmlns:c16="http://schemas.microsoft.com/office/drawing/2014/chart" uri="{C3380CC4-5D6E-409C-BE32-E72D297353CC}">
              <c16:uniqueId val="{00000000-ECE6-4AF2-8D07-6F972F948B4B}"/>
            </c:ext>
          </c:extLst>
        </c:ser>
        <c:dLbls>
          <c:dLblPos val="inEnd"/>
          <c:showLegendKey val="0"/>
          <c:showVal val="1"/>
          <c:showCatName val="0"/>
          <c:showSerName val="0"/>
          <c:showPercent val="0"/>
          <c:showBubbleSize val="0"/>
        </c:dLbls>
        <c:gapWidth val="100"/>
        <c:overlap val="-24"/>
        <c:axId val="1299898639"/>
        <c:axId val="1299885199"/>
      </c:barChart>
      <c:catAx>
        <c:axId val="129989863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MW"/>
          </a:p>
        </c:txPr>
        <c:crossAx val="1299885199"/>
        <c:crosses val="autoZero"/>
        <c:auto val="1"/>
        <c:lblAlgn val="ctr"/>
        <c:lblOffset val="100"/>
        <c:noMultiLvlLbl val="0"/>
      </c:catAx>
      <c:valAx>
        <c:axId val="1299885199"/>
        <c:scaling>
          <c:orientation val="minMax"/>
        </c:scaling>
        <c:delete val="1"/>
        <c:axPos val="l"/>
        <c:numFmt formatCode="0.0" sourceLinked="1"/>
        <c:majorTickMark val="none"/>
        <c:minorTickMark val="none"/>
        <c:tickLblPos val="nextTo"/>
        <c:crossAx val="1299898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5400000" algn="t" rotWithShape="0">
        <a:prstClr val="black">
          <a:alpha val="40000"/>
        </a:prstClr>
      </a:outerShdw>
    </a:effectLst>
  </c:spPr>
  <c:txPr>
    <a:bodyPr/>
    <a:lstStyle/>
    <a:p>
      <a:pPr>
        <a:defRPr/>
      </a:pPr>
      <a:endParaRPr lang="en-M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[Patient Data.xlsx]Report!PivotTable13</c:name>
    <c:fmtId val="5"/>
  </c:pivotSource>
  <c:chart>
    <c:autoTitleDeleted val="1"/>
    <c:pivotFmts>
      <c:pivotFmt>
        <c:idx val="0"/>
        <c:dLbl>
          <c:idx val="0"/>
          <c:showLegendKey val="0"/>
          <c:showVal val="1"/>
          <c:showCatName val="0"/>
          <c:showSerName val="0"/>
          <c:showPercent val="1"/>
          <c:showBubbleSize val="0"/>
          <c:extLst>
            <c:ext xmlns:c15="http://schemas.microsoft.com/office/drawing/2012/chart" uri="{CE6537A1-D6FC-4f65-9D91-7224C49458BB}"/>
          </c:extLst>
        </c:dLbl>
      </c:pivotFmt>
      <c:pivotFmt>
        <c:idx val="1"/>
        <c:dLbl>
          <c:idx val="0"/>
          <c:tx>
            <c:rich>
              <a:bodyPr/>
              <a:lstStyle/>
              <a:p>
                <a:fld id="{7CB26378-91A7-445C-B18F-78E9155AA54C}" type="VALUE">
                  <a:rPr lang="en-US"/>
                  <a:pPr/>
                  <a:t>[VALUE]</a:t>
                </a:fld>
                <a:endParaRPr lang="en-MW"/>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dLbl>
          <c:idx val="0"/>
          <c:tx>
            <c:rich>
              <a:bodyPr/>
              <a:lstStyle/>
              <a:p>
                <a:fld id="{14294222-F7D8-47BC-A370-1F439CD45D33}" type="VALUE">
                  <a:rPr lang="en-US"/>
                  <a:pPr/>
                  <a:t>[VALUE]</a:t>
                </a:fld>
                <a:endParaRPr lang="en-MW"/>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dLbl>
          <c:idx val="0"/>
          <c:tx>
            <c:rich>
              <a:bodyPr/>
              <a:lstStyle/>
              <a:p>
                <a:fld id="{3A8973CD-C394-4EF8-A5A2-2D2AFDD7DAA8}" type="VALUE">
                  <a:rPr lang="en-US"/>
                  <a:pPr/>
                  <a:t>[VALUE]</a:t>
                </a:fld>
                <a:endParaRPr lang="en-MW"/>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4"/>
        <c:dLbl>
          <c:idx val="0"/>
          <c:showLegendKey val="0"/>
          <c:showVal val="1"/>
          <c:showCatName val="0"/>
          <c:showSerName val="0"/>
          <c:showPercent val="1"/>
          <c:showBubbleSize val="0"/>
          <c:extLst>
            <c:ext xmlns:c15="http://schemas.microsoft.com/office/drawing/2012/chart" uri="{CE6537A1-D6FC-4f65-9D91-7224C49458BB}"/>
          </c:extLst>
        </c:dLbl>
      </c:pivotFmt>
      <c:pivotFmt>
        <c:idx val="5"/>
        <c:dLbl>
          <c:idx val="0"/>
          <c:tx>
            <c:rich>
              <a:bodyPr/>
              <a:lstStyle/>
              <a:p>
                <a:fld id="{7CB26378-91A7-445C-B18F-78E9155AA54C}" type="VALUE">
                  <a:rPr lang="en-US"/>
                  <a:pPr/>
                  <a:t>[VALUE]</a:t>
                </a:fld>
                <a:endParaRPr lang="en-MW"/>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dLbl>
          <c:idx val="0"/>
          <c:tx>
            <c:rich>
              <a:bodyPr/>
              <a:lstStyle/>
              <a:p>
                <a:fld id="{3A8973CD-C394-4EF8-A5A2-2D2AFDD7DAA8}" type="VALUE">
                  <a:rPr lang="en-US"/>
                  <a:pPr/>
                  <a:t>[VALUE]</a:t>
                </a:fld>
                <a:endParaRPr lang="en-MW"/>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7"/>
        <c:dLbl>
          <c:idx val="0"/>
          <c:tx>
            <c:rich>
              <a:bodyPr/>
              <a:lstStyle/>
              <a:p>
                <a:fld id="{14294222-F7D8-47BC-A370-1F439CD45D33}" type="VALUE">
                  <a:rPr lang="en-US"/>
                  <a:pPr/>
                  <a:t>[VALUE]</a:t>
                </a:fld>
                <a:endParaRPr lang="en-MW"/>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MW"/>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Times New Roman" panose="02020603050405020304" pitchFamily="18" charset="0"/>
                    <a:ea typeface="+mn-ea"/>
                    <a:cs typeface="Times New Roman" panose="02020603050405020304" pitchFamily="18" charset="0"/>
                  </a:defRPr>
                </a:pPr>
                <a:fld id="{7CB26378-91A7-445C-B18F-78E9155AA54C}" type="VALUE">
                  <a:rPr lang="en-US">
                    <a:latin typeface="Times New Roman" panose="02020603050405020304" pitchFamily="18" charset="0"/>
                    <a:cs typeface="Times New Roman" panose="02020603050405020304" pitchFamily="18" charset="0"/>
                  </a:rPr>
                  <a:pPr>
                    <a:defRPr>
                      <a:latin typeface="Times New Roman" panose="02020603050405020304" pitchFamily="18" charset="0"/>
                      <a:cs typeface="Times New Roman" panose="02020603050405020304" pitchFamily="18" charset="0"/>
                    </a:defRPr>
                  </a:pPr>
                  <a:t>[VALUE]</a:t>
                </a:fld>
                <a:endParaRPr lang="en-MW"/>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MW"/>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Times New Roman" panose="02020603050405020304" pitchFamily="18" charset="0"/>
                    <a:ea typeface="+mn-ea"/>
                    <a:cs typeface="Times New Roman" panose="02020603050405020304" pitchFamily="18" charset="0"/>
                  </a:defRPr>
                </a:pPr>
                <a:fld id="{3A8973CD-C394-4EF8-A5A2-2D2AFDD7DAA8}" type="VALUE">
                  <a:rPr lang="en-US">
                    <a:latin typeface="Times New Roman" panose="02020603050405020304" pitchFamily="18" charset="0"/>
                    <a:cs typeface="Times New Roman" panose="02020603050405020304" pitchFamily="18" charset="0"/>
                  </a:rPr>
                  <a:pPr>
                    <a:defRPr>
                      <a:latin typeface="Times New Roman" panose="02020603050405020304" pitchFamily="18" charset="0"/>
                      <a:cs typeface="Times New Roman" panose="02020603050405020304" pitchFamily="18" charset="0"/>
                    </a:defRPr>
                  </a:pPr>
                  <a:t>[VALUE]</a:t>
                </a:fld>
                <a:endParaRPr lang="en-MW"/>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MW"/>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Times New Roman" panose="02020603050405020304" pitchFamily="18" charset="0"/>
                    <a:ea typeface="+mn-ea"/>
                    <a:cs typeface="Times New Roman" panose="02020603050405020304" pitchFamily="18" charset="0"/>
                  </a:defRPr>
                </a:pPr>
                <a:fld id="{14294222-F7D8-47BC-A370-1F439CD45D33}" type="VALUE">
                  <a:rPr lang="en-US">
                    <a:latin typeface="Times New Roman" panose="02020603050405020304" pitchFamily="18" charset="0"/>
                    <a:cs typeface="Times New Roman" panose="02020603050405020304" pitchFamily="18" charset="0"/>
                  </a:rPr>
                  <a:pPr>
                    <a:defRPr>
                      <a:latin typeface="Times New Roman" panose="02020603050405020304" pitchFamily="18" charset="0"/>
                      <a:cs typeface="Times New Roman" panose="02020603050405020304" pitchFamily="18" charset="0"/>
                    </a:defRPr>
                  </a:pPr>
                  <a:t>[VALUE]</a:t>
                </a:fld>
                <a:endParaRPr lang="en-MW"/>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MW"/>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5861325561049225"/>
          <c:y val="0.2064918135794542"/>
          <c:w val="0.44032493517757959"/>
          <c:h val="0.58089054365769432"/>
        </c:manualLayout>
      </c:layout>
      <c:doughnutChart>
        <c:varyColors val="1"/>
        <c:ser>
          <c:idx val="0"/>
          <c:order val="0"/>
          <c:tx>
            <c:strRef>
              <c:f>Report!$B$25</c:f>
              <c:strCache>
                <c:ptCount val="1"/>
                <c:pt idx="0">
                  <c:v>Total</c:v>
                </c:pt>
              </c:strCache>
            </c:strRef>
          </c:tx>
          <c:explosion val="3"/>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D95-4F4A-9C46-875F99A5C61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D95-4F4A-9C46-875F99A5C61A}"/>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D95-4F4A-9C46-875F99A5C61A}"/>
              </c:ext>
            </c:extLst>
          </c:dPt>
          <c:dLbls>
            <c:dLbl>
              <c:idx val="0"/>
              <c:tx>
                <c:rich>
                  <a:bodyPr/>
                  <a:lstStyle/>
                  <a:p>
                    <a:fld id="{7CB26378-91A7-445C-B18F-78E9155AA54C}" type="VALUE">
                      <a:rPr lang="en-US">
                        <a:latin typeface="Times New Roman" panose="02020603050405020304" pitchFamily="18" charset="0"/>
                        <a:cs typeface="Times New Roman" panose="02020603050405020304" pitchFamily="18" charset="0"/>
                      </a:rPr>
                      <a:pPr/>
                      <a:t>[VALUE]</a:t>
                    </a:fld>
                    <a:endParaRPr lang="en-MW"/>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6D95-4F4A-9C46-875F99A5C61A}"/>
                </c:ext>
              </c:extLst>
            </c:dLbl>
            <c:dLbl>
              <c:idx val="1"/>
              <c:tx>
                <c:rich>
                  <a:bodyPr/>
                  <a:lstStyle/>
                  <a:p>
                    <a:fld id="{3A8973CD-C394-4EF8-A5A2-2D2AFDD7DAA8}" type="VALUE">
                      <a:rPr lang="en-US">
                        <a:latin typeface="Times New Roman" panose="02020603050405020304" pitchFamily="18" charset="0"/>
                        <a:cs typeface="Times New Roman" panose="02020603050405020304" pitchFamily="18" charset="0"/>
                      </a:rPr>
                      <a:pPr/>
                      <a:t>[VALUE]</a:t>
                    </a:fld>
                    <a:endParaRPr lang="en-MW"/>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6D95-4F4A-9C46-875F99A5C61A}"/>
                </c:ext>
              </c:extLst>
            </c:dLbl>
            <c:dLbl>
              <c:idx val="2"/>
              <c:tx>
                <c:rich>
                  <a:bodyPr/>
                  <a:lstStyle/>
                  <a:p>
                    <a:fld id="{14294222-F7D8-47BC-A370-1F439CD45D33}" type="VALUE">
                      <a:rPr lang="en-US">
                        <a:latin typeface="Times New Roman" panose="02020603050405020304" pitchFamily="18" charset="0"/>
                        <a:cs typeface="Times New Roman" panose="02020603050405020304" pitchFamily="18" charset="0"/>
                      </a:rPr>
                      <a:pPr/>
                      <a:t>[VALUE]</a:t>
                    </a:fld>
                    <a:endParaRPr lang="en-MW"/>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6D95-4F4A-9C46-875F99A5C61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MW"/>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Report!$A$26:$A$29</c:f>
              <c:strCache>
                <c:ptCount val="3"/>
                <c:pt idx="0">
                  <c:v>Female</c:v>
                </c:pt>
                <c:pt idx="1">
                  <c:v>Male</c:v>
                </c:pt>
                <c:pt idx="2">
                  <c:v>Other</c:v>
                </c:pt>
              </c:strCache>
            </c:strRef>
          </c:cat>
          <c:val>
            <c:numRef>
              <c:f>Report!$B$26:$B$29</c:f>
              <c:numCache>
                <c:formatCode>0.0</c:formatCode>
                <c:ptCount val="3"/>
                <c:pt idx="0">
                  <c:v>71.614035087719301</c:v>
                </c:pt>
                <c:pt idx="1">
                  <c:v>72.283950617283949</c:v>
                </c:pt>
                <c:pt idx="2">
                  <c:v>66.741935483870961</c:v>
                </c:pt>
              </c:numCache>
            </c:numRef>
          </c:val>
          <c:extLst>
            <c:ext xmlns:c16="http://schemas.microsoft.com/office/drawing/2014/chart" uri="{C3380CC4-5D6E-409C-BE32-E72D297353CC}">
              <c16:uniqueId val="{00000006-6D95-4F4A-9C46-875F99A5C61A}"/>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MW"/>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[Patient Data.xlsx]Report!PivotTable9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a:latin typeface="Aharoni" panose="02010803020104030203" pitchFamily="2" charset="-79"/>
                <a:cs typeface="Aharoni" panose="02010803020104030203" pitchFamily="2" charset="-79"/>
              </a:rPr>
              <a:t>Average Recovery Score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MW"/>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W"/>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W"/>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MW"/>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Report!$E$25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MW"/>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Report!$D$26:$D$34</c:f>
              <c:strCache>
                <c:ptCount val="8"/>
                <c:pt idx="0">
                  <c:v>Teenager</c:v>
                </c:pt>
                <c:pt idx="1">
                  <c:v>Middle-aged</c:v>
                </c:pt>
                <c:pt idx="2">
                  <c:v>Adult</c:v>
                </c:pt>
                <c:pt idx="3">
                  <c:v>Child</c:v>
                </c:pt>
                <c:pt idx="4">
                  <c:v>Young Adult</c:v>
                </c:pt>
                <c:pt idx="5">
                  <c:v>Infant / Toddler</c:v>
                </c:pt>
                <c:pt idx="6">
                  <c:v>Senior</c:v>
                </c:pt>
                <c:pt idx="7">
                  <c:v>Elderly</c:v>
                </c:pt>
              </c:strCache>
            </c:strRef>
          </c:cat>
          <c:val>
            <c:numRef>
              <c:f>Report!$E$26:$E$34</c:f>
              <c:numCache>
                <c:formatCode>0.0</c:formatCode>
                <c:ptCount val="8"/>
                <c:pt idx="0">
                  <c:v>67.230769230769226</c:v>
                </c:pt>
                <c:pt idx="1">
                  <c:v>68.242424242424249</c:v>
                </c:pt>
                <c:pt idx="2">
                  <c:v>68.324324324324323</c:v>
                </c:pt>
                <c:pt idx="3">
                  <c:v>70.400000000000006</c:v>
                </c:pt>
                <c:pt idx="4">
                  <c:v>71.333333333333329</c:v>
                </c:pt>
                <c:pt idx="5">
                  <c:v>72.222222222222229</c:v>
                </c:pt>
                <c:pt idx="6">
                  <c:v>72.342857142857142</c:v>
                </c:pt>
                <c:pt idx="7">
                  <c:v>72.961538461538467</c:v>
                </c:pt>
              </c:numCache>
            </c:numRef>
          </c:val>
          <c:extLst>
            <c:ext xmlns:c16="http://schemas.microsoft.com/office/drawing/2014/chart" uri="{C3380CC4-5D6E-409C-BE32-E72D297353CC}">
              <c16:uniqueId val="{00000000-8ED2-467B-B6E5-6E40A45E890A}"/>
            </c:ext>
          </c:extLst>
        </c:ser>
        <c:dLbls>
          <c:dLblPos val="outEnd"/>
          <c:showLegendKey val="0"/>
          <c:showVal val="1"/>
          <c:showCatName val="0"/>
          <c:showSerName val="0"/>
          <c:showPercent val="0"/>
          <c:showBubbleSize val="0"/>
        </c:dLbls>
        <c:gapWidth val="182"/>
        <c:axId val="160026416"/>
        <c:axId val="160026896"/>
      </c:barChart>
      <c:catAx>
        <c:axId val="160026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W"/>
          </a:p>
        </c:txPr>
        <c:crossAx val="160026896"/>
        <c:crosses val="autoZero"/>
        <c:auto val="1"/>
        <c:lblAlgn val="ctr"/>
        <c:lblOffset val="100"/>
        <c:noMultiLvlLbl val="0"/>
      </c:catAx>
      <c:valAx>
        <c:axId val="160026896"/>
        <c:scaling>
          <c:orientation val="minMax"/>
        </c:scaling>
        <c:delete val="1"/>
        <c:axPos val="b"/>
        <c:numFmt formatCode="0.0" sourceLinked="1"/>
        <c:majorTickMark val="none"/>
        <c:minorTickMark val="none"/>
        <c:tickLblPos val="nextTo"/>
        <c:crossAx val="160026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M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Average Recovery Score by Treatment Type</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haroni" panose="02010803020104030203" pitchFamily="2" charset="-79"/>
              <a:cs typeface="Aharoni" panose="02010803020104030203" pitchFamily="2" charset="-79"/>
            </a:rPr>
            <a:t>Average Recovery Score by Treatment Type</a:t>
          </a:r>
        </a:p>
      </cx:txPr>
    </cx:title>
    <cx:plotArea>
      <cx:plotAreaRegion>
        <cx:series layoutId="funnel" uniqueId="{607E60D2-25E8-493C-AF5B-E6F452FEE160}">
          <cx:dataLabels>
            <cx:txPr>
              <a:bodyPr spcFirstLastPara="1" vertOverflow="ellipsis" horzOverflow="overflow" wrap="square" lIns="0" tIns="0" rIns="0" bIns="0" anchor="ctr" anchorCtr="1"/>
              <a:lstStyle/>
              <a:p>
                <a:pPr algn="ctr" rtl="0">
                  <a:defRPr b="1">
                    <a:solidFill>
                      <a:schemeClr val="bg1"/>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900" b="1" i="0" u="none" strike="noStrike" baseline="0">
                  <a:solidFill>
                    <a:schemeClr val="bg1"/>
                  </a:solidFill>
                  <a:latin typeface="Times New Roman" panose="02020603050405020304" pitchFamily="18" charset="0"/>
                  <a:cs typeface="Times New Roman" panose="02020603050405020304" pitchFamily="18" charset="0"/>
                </a:endParaRPr>
              </a:p>
            </cx:txPr>
            <cx:visibility seriesName="0" categoryName="0" value="1"/>
          </cx:dataLabels>
          <cx:dataId val="0"/>
        </cx:series>
      </cx:plotAreaRegion>
      <cx:axis id="0">
        <cx:catScaling/>
        <cx:tickLabels/>
        <cx:txPr>
          <a:bodyPr spcFirstLastPara="1" vertOverflow="ellipsis" horzOverflow="overflow" wrap="square" lIns="0" tIns="0" rIns="0" bIns="0" anchor="ctr" anchorCtr="1"/>
          <a:lstStyle/>
          <a:p>
            <a:pPr algn="ctr" rtl="0">
              <a:defRPr>
                <a:latin typeface="Times New Roman" panose="02020603050405020304" pitchFamily="18" charset="0"/>
                <a:ea typeface="Times New Roman" panose="02020603050405020304" pitchFamily="18" charset="0"/>
                <a:cs typeface="Times New Roman" panose="02020603050405020304" pitchFamily="18" charset="0"/>
              </a:defRPr>
            </a:pPr>
            <a:endParaRPr lang="en-US" sz="900" b="0" i="0" u="none" strike="noStrike" baseline="0">
              <a:solidFill>
                <a:sysClr val="windowText" lastClr="000000">
                  <a:lumMod val="65000"/>
                  <a:lumOff val="35000"/>
                </a:sysClr>
              </a:solidFill>
              <a:latin typeface="Times New Roman" panose="02020603050405020304" pitchFamily="18" charset="0"/>
              <a:cs typeface="Times New Roman" panose="02020603050405020304" pitchFamily="18" charset="0"/>
            </a:endParaRPr>
          </a:p>
        </cx:txPr>
      </cx:axis>
    </cx:plotArea>
  </cx:chart>
  <cx:spPr>
    <a:effectLst>
      <a:outerShdw blurRad="190500" dist="114300" dir="5400000" algn="t"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xml"/><Relationship Id="rId18"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4.xml"/><Relationship Id="rId2" Type="http://schemas.openxmlformats.org/officeDocument/2006/relationships/image" Target="../media/image2.svg"/><Relationship Id="rId16" Type="http://schemas.openxmlformats.org/officeDocument/2006/relationships/chart" Target="../charts/chart3.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2.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152400</xdr:colOff>
      <xdr:row>0</xdr:row>
      <xdr:rowOff>76200</xdr:rowOff>
    </xdr:from>
    <xdr:to>
      <xdr:col>17</xdr:col>
      <xdr:colOff>260350</xdr:colOff>
      <xdr:row>31</xdr:row>
      <xdr:rowOff>34890</xdr:rowOff>
    </xdr:to>
    <xdr:sp macro="" textlink="">
      <xdr:nvSpPr>
        <xdr:cNvPr id="2" name="Rectangle: Rounded Corners 1">
          <a:extLst>
            <a:ext uri="{FF2B5EF4-FFF2-40B4-BE49-F238E27FC236}">
              <a16:creationId xmlns:a16="http://schemas.microsoft.com/office/drawing/2014/main" id="{8CFB0E4F-8C74-1432-7389-791B9AB63A5A}"/>
            </a:ext>
          </a:extLst>
        </xdr:cNvPr>
        <xdr:cNvSpPr/>
      </xdr:nvSpPr>
      <xdr:spPr>
        <a:xfrm>
          <a:off x="152400" y="76200"/>
          <a:ext cx="10453158" cy="5700148"/>
        </a:xfrm>
        <a:prstGeom prst="roundRect">
          <a:avLst>
            <a:gd name="adj" fmla="val 3058"/>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latin typeface="Aharoni" panose="02010803020104030203" pitchFamily="2" charset="-79"/>
              <a:cs typeface="Aharoni" panose="02010803020104030203" pitchFamily="2" charset="-79"/>
            </a:rPr>
            <a:t>                                                                  Patient</a:t>
          </a:r>
          <a:r>
            <a:rPr lang="en-US" sz="1400" baseline="0">
              <a:latin typeface="Aharoni" panose="02010803020104030203" pitchFamily="2" charset="-79"/>
              <a:cs typeface="Aharoni" panose="02010803020104030203" pitchFamily="2" charset="-79"/>
            </a:rPr>
            <a:t> Treatment &amp; Recovery Analysis</a:t>
          </a:r>
        </a:p>
        <a:p>
          <a:pPr algn="l"/>
          <a:r>
            <a:rPr lang="en-US" sz="1100" baseline="0"/>
            <a:t>                                                                                                                                                                        </a:t>
          </a:r>
          <a:r>
            <a:rPr lang="en-US" sz="1400" b="1" baseline="0">
              <a:latin typeface="Times New Roman" panose="02020603050405020304" pitchFamily="18" charset="0"/>
              <a:cs typeface="Times New Roman" panose="02020603050405020304" pitchFamily="18" charset="0"/>
            </a:rPr>
            <a:t>Dashboard</a:t>
          </a:r>
          <a:endParaRPr lang="en-MW" sz="1400" b="1">
            <a:latin typeface="Times New Roman" panose="02020603050405020304" pitchFamily="18" charset="0"/>
            <a:cs typeface="Times New Roman" panose="02020603050405020304" pitchFamily="18" charset="0"/>
          </a:endParaRPr>
        </a:p>
      </xdr:txBody>
    </xdr:sp>
    <xdr:clientData/>
  </xdr:twoCellAnchor>
  <xdr:twoCellAnchor>
    <xdr:from>
      <xdr:col>0</xdr:col>
      <xdr:colOff>215900</xdr:colOff>
      <xdr:row>3</xdr:row>
      <xdr:rowOff>57150</xdr:rowOff>
    </xdr:from>
    <xdr:to>
      <xdr:col>17</xdr:col>
      <xdr:colOff>31750</xdr:colOff>
      <xdr:row>29</xdr:row>
      <xdr:rowOff>90714</xdr:rowOff>
    </xdr:to>
    <xdr:sp macro="" textlink="">
      <xdr:nvSpPr>
        <xdr:cNvPr id="3" name="Rectangle: Rounded Corners 2">
          <a:extLst>
            <a:ext uri="{FF2B5EF4-FFF2-40B4-BE49-F238E27FC236}">
              <a16:creationId xmlns:a16="http://schemas.microsoft.com/office/drawing/2014/main" id="{B2212B44-E0DA-4E5B-B633-3F4CDCE726ED}"/>
            </a:ext>
          </a:extLst>
        </xdr:cNvPr>
        <xdr:cNvSpPr/>
      </xdr:nvSpPr>
      <xdr:spPr>
        <a:xfrm>
          <a:off x="215900" y="601436"/>
          <a:ext cx="10136345" cy="4750707"/>
        </a:xfrm>
        <a:prstGeom prst="roundRect">
          <a:avLst>
            <a:gd name="adj" fmla="val 3058"/>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W" sz="1100"/>
        </a:p>
      </xdr:txBody>
    </xdr:sp>
    <xdr:clientData/>
  </xdr:twoCellAnchor>
  <xdr:twoCellAnchor>
    <xdr:from>
      <xdr:col>0</xdr:col>
      <xdr:colOff>342900</xdr:colOff>
      <xdr:row>4</xdr:row>
      <xdr:rowOff>0</xdr:rowOff>
    </xdr:from>
    <xdr:to>
      <xdr:col>2</xdr:col>
      <xdr:colOff>425450</xdr:colOff>
      <xdr:row>6</xdr:row>
      <xdr:rowOff>133350</xdr:rowOff>
    </xdr:to>
    <xdr:sp macro="" textlink="">
      <xdr:nvSpPr>
        <xdr:cNvPr id="4" name="Rectangle: Rounded Corners 3">
          <a:extLst>
            <a:ext uri="{FF2B5EF4-FFF2-40B4-BE49-F238E27FC236}">
              <a16:creationId xmlns:a16="http://schemas.microsoft.com/office/drawing/2014/main" id="{6B137C31-4837-4357-2EEE-755256DBD003}"/>
            </a:ext>
          </a:extLst>
        </xdr:cNvPr>
        <xdr:cNvSpPr/>
      </xdr:nvSpPr>
      <xdr:spPr>
        <a:xfrm>
          <a:off x="342900" y="725714"/>
          <a:ext cx="1296726" cy="496207"/>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ysClr val="windowText" lastClr="000000"/>
              </a:solidFill>
              <a:latin typeface="Aharoni" panose="02010803020104030203" pitchFamily="2" charset="-79"/>
              <a:cs typeface="Aharoni" panose="02010803020104030203" pitchFamily="2" charset="-79"/>
            </a:rPr>
            <a:t>Total</a:t>
          </a:r>
          <a:r>
            <a:rPr lang="en-US" sz="1100" b="1" baseline="0">
              <a:solidFill>
                <a:sysClr val="windowText" lastClr="000000"/>
              </a:solidFill>
              <a:latin typeface="Aharoni" panose="02010803020104030203" pitchFamily="2" charset="-79"/>
              <a:cs typeface="Aharoni" panose="02010803020104030203" pitchFamily="2" charset="-79"/>
            </a:rPr>
            <a:t> Patients</a:t>
          </a:r>
          <a:endParaRPr lang="en-MW" sz="1100" b="1">
            <a:solidFill>
              <a:sysClr val="windowText" lastClr="000000"/>
            </a:solidFill>
            <a:latin typeface="Aharoni" panose="02010803020104030203" pitchFamily="2" charset="-79"/>
            <a:cs typeface="Aharoni" panose="02010803020104030203" pitchFamily="2" charset="-79"/>
          </a:endParaRPr>
        </a:p>
      </xdr:txBody>
    </xdr:sp>
    <xdr:clientData/>
  </xdr:twoCellAnchor>
  <xdr:twoCellAnchor>
    <xdr:from>
      <xdr:col>2</xdr:col>
      <xdr:colOff>541276</xdr:colOff>
      <xdr:row>4</xdr:row>
      <xdr:rowOff>0</xdr:rowOff>
    </xdr:from>
    <xdr:to>
      <xdr:col>5</xdr:col>
      <xdr:colOff>16738</xdr:colOff>
      <xdr:row>6</xdr:row>
      <xdr:rowOff>114300</xdr:rowOff>
    </xdr:to>
    <xdr:sp macro="" textlink="">
      <xdr:nvSpPr>
        <xdr:cNvPr id="10" name="Rectangle: Rounded Corners 9">
          <a:extLst>
            <a:ext uri="{FF2B5EF4-FFF2-40B4-BE49-F238E27FC236}">
              <a16:creationId xmlns:a16="http://schemas.microsoft.com/office/drawing/2014/main" id="{E3FA97C5-BC28-4E0A-BB9D-70B1B556D087}"/>
            </a:ext>
          </a:extLst>
        </xdr:cNvPr>
        <xdr:cNvSpPr/>
      </xdr:nvSpPr>
      <xdr:spPr>
        <a:xfrm>
          <a:off x="1755452" y="725714"/>
          <a:ext cx="1296726" cy="477157"/>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ysClr val="windowText" lastClr="000000"/>
              </a:solidFill>
              <a:latin typeface="Aharoni" panose="02010803020104030203" pitchFamily="2" charset="-79"/>
              <a:cs typeface="Aharoni" panose="02010803020104030203" pitchFamily="2" charset="-79"/>
            </a:rPr>
            <a:t>Average</a:t>
          </a:r>
          <a:r>
            <a:rPr lang="en-US" sz="1100" b="1" baseline="0">
              <a:solidFill>
                <a:sysClr val="windowText" lastClr="000000"/>
              </a:solidFill>
              <a:latin typeface="Aharoni" panose="02010803020104030203" pitchFamily="2" charset="-79"/>
              <a:cs typeface="Aharoni" panose="02010803020104030203" pitchFamily="2" charset="-79"/>
            </a:rPr>
            <a:t> Age</a:t>
          </a:r>
          <a:endParaRPr lang="en-MW" sz="1100" b="1">
            <a:solidFill>
              <a:sysClr val="windowText" lastClr="000000"/>
            </a:solidFill>
            <a:latin typeface="Aharoni" panose="02010803020104030203" pitchFamily="2" charset="-79"/>
            <a:cs typeface="Aharoni" panose="02010803020104030203" pitchFamily="2" charset="-79"/>
          </a:endParaRPr>
        </a:p>
      </xdr:txBody>
    </xdr:sp>
    <xdr:clientData/>
  </xdr:twoCellAnchor>
  <xdr:twoCellAnchor>
    <xdr:from>
      <xdr:col>5</xdr:col>
      <xdr:colOff>132564</xdr:colOff>
      <xdr:row>4</xdr:row>
      <xdr:rowOff>0</xdr:rowOff>
    </xdr:from>
    <xdr:to>
      <xdr:col>7</xdr:col>
      <xdr:colOff>484990</xdr:colOff>
      <xdr:row>6</xdr:row>
      <xdr:rowOff>101600</xdr:rowOff>
    </xdr:to>
    <xdr:sp macro="" textlink="">
      <xdr:nvSpPr>
        <xdr:cNvPr id="11" name="Rectangle: Rounded Corners 10">
          <a:extLst>
            <a:ext uri="{FF2B5EF4-FFF2-40B4-BE49-F238E27FC236}">
              <a16:creationId xmlns:a16="http://schemas.microsoft.com/office/drawing/2014/main" id="{E547E79B-5141-408B-8022-2CC4BAC01E2A}"/>
            </a:ext>
          </a:extLst>
        </xdr:cNvPr>
        <xdr:cNvSpPr/>
      </xdr:nvSpPr>
      <xdr:spPr>
        <a:xfrm>
          <a:off x="3168004" y="725714"/>
          <a:ext cx="1566601" cy="464457"/>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ysClr val="windowText" lastClr="000000"/>
              </a:solidFill>
              <a:latin typeface="Aharoni" panose="02010803020104030203" pitchFamily="2" charset="-79"/>
              <a:cs typeface="Aharoni" panose="02010803020104030203" pitchFamily="2" charset="-79"/>
            </a:rPr>
            <a:t>Avg.</a:t>
          </a:r>
          <a:r>
            <a:rPr lang="en-US" sz="1100" b="1" baseline="0">
              <a:solidFill>
                <a:sysClr val="windowText" lastClr="000000"/>
              </a:solidFill>
              <a:latin typeface="Aharoni" panose="02010803020104030203" pitchFamily="2" charset="-79"/>
              <a:cs typeface="Aharoni" panose="02010803020104030203" pitchFamily="2" charset="-79"/>
            </a:rPr>
            <a:t> Treatment Cost</a:t>
          </a:r>
          <a:endParaRPr lang="en-MW" sz="1100" b="1">
            <a:solidFill>
              <a:sysClr val="windowText" lastClr="000000"/>
            </a:solidFill>
            <a:latin typeface="Aharoni" panose="02010803020104030203" pitchFamily="2" charset="-79"/>
            <a:cs typeface="Aharoni" panose="02010803020104030203" pitchFamily="2" charset="-79"/>
          </a:endParaRPr>
        </a:p>
      </xdr:txBody>
    </xdr:sp>
    <xdr:clientData/>
  </xdr:twoCellAnchor>
  <xdr:twoCellAnchor>
    <xdr:from>
      <xdr:col>7</xdr:col>
      <xdr:colOff>600816</xdr:colOff>
      <xdr:row>4</xdr:row>
      <xdr:rowOff>34890</xdr:rowOff>
    </xdr:from>
    <xdr:to>
      <xdr:col>10</xdr:col>
      <xdr:colOff>296016</xdr:colOff>
      <xdr:row>6</xdr:row>
      <xdr:rowOff>130140</xdr:rowOff>
    </xdr:to>
    <xdr:sp macro="" textlink="">
      <xdr:nvSpPr>
        <xdr:cNvPr id="12" name="Rectangle: Rounded Corners 11">
          <a:extLst>
            <a:ext uri="{FF2B5EF4-FFF2-40B4-BE49-F238E27FC236}">
              <a16:creationId xmlns:a16="http://schemas.microsoft.com/office/drawing/2014/main" id="{9A681901-8C9A-4A14-B429-EC09DBE4CA5B}"/>
            </a:ext>
          </a:extLst>
        </xdr:cNvPr>
        <xdr:cNvSpPr/>
      </xdr:nvSpPr>
      <xdr:spPr>
        <a:xfrm>
          <a:off x="4850431" y="760604"/>
          <a:ext cx="1516464" cy="458107"/>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ysClr val="windowText" lastClr="000000"/>
              </a:solidFill>
              <a:latin typeface="Aharoni" panose="02010803020104030203" pitchFamily="2" charset="-79"/>
              <a:cs typeface="Aharoni" panose="02010803020104030203" pitchFamily="2" charset="-79"/>
            </a:rPr>
            <a:t>Avg.</a:t>
          </a:r>
          <a:r>
            <a:rPr lang="en-US" sz="1100" b="1" baseline="0">
              <a:solidFill>
                <a:sysClr val="windowText" lastClr="000000"/>
              </a:solidFill>
              <a:latin typeface="Aharoni" panose="02010803020104030203" pitchFamily="2" charset="-79"/>
              <a:cs typeface="Aharoni" panose="02010803020104030203" pitchFamily="2" charset="-79"/>
            </a:rPr>
            <a:t> Staying Days</a:t>
          </a:r>
          <a:endParaRPr lang="en-MW" sz="1100" b="1">
            <a:solidFill>
              <a:sysClr val="windowText" lastClr="000000"/>
            </a:solidFill>
            <a:latin typeface="Aharoni" panose="02010803020104030203" pitchFamily="2" charset="-79"/>
            <a:cs typeface="Aharoni" panose="02010803020104030203" pitchFamily="2" charset="-79"/>
          </a:endParaRPr>
        </a:p>
      </xdr:txBody>
    </xdr:sp>
    <xdr:clientData/>
  </xdr:twoCellAnchor>
  <xdr:twoCellAnchor>
    <xdr:from>
      <xdr:col>10</xdr:col>
      <xdr:colOff>411843</xdr:colOff>
      <xdr:row>4</xdr:row>
      <xdr:rowOff>27912</xdr:rowOff>
    </xdr:from>
    <xdr:to>
      <xdr:col>13</xdr:col>
      <xdr:colOff>284843</xdr:colOff>
      <xdr:row>6</xdr:row>
      <xdr:rowOff>123162</xdr:rowOff>
    </xdr:to>
    <xdr:sp macro="" textlink="">
      <xdr:nvSpPr>
        <xdr:cNvPr id="13" name="Rectangle: Rounded Corners 12">
          <a:extLst>
            <a:ext uri="{FF2B5EF4-FFF2-40B4-BE49-F238E27FC236}">
              <a16:creationId xmlns:a16="http://schemas.microsoft.com/office/drawing/2014/main" id="{423D4E99-A17F-4447-B98E-1FA014F35F48}"/>
            </a:ext>
          </a:extLst>
        </xdr:cNvPr>
        <xdr:cNvSpPr/>
      </xdr:nvSpPr>
      <xdr:spPr>
        <a:xfrm>
          <a:off x="6482722" y="753626"/>
          <a:ext cx="1694264" cy="458107"/>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ysClr val="windowText" lastClr="000000"/>
              </a:solidFill>
              <a:latin typeface="Aharoni" panose="02010803020104030203" pitchFamily="2" charset="-79"/>
              <a:cs typeface="Aharoni" panose="02010803020104030203" pitchFamily="2" charset="-79"/>
            </a:rPr>
            <a:t>Avg.</a:t>
          </a:r>
          <a:r>
            <a:rPr lang="en-US" sz="1100" b="1" baseline="0">
              <a:solidFill>
                <a:sysClr val="windowText" lastClr="000000"/>
              </a:solidFill>
              <a:latin typeface="Aharoni" panose="02010803020104030203" pitchFamily="2" charset="-79"/>
              <a:cs typeface="Aharoni" panose="02010803020104030203" pitchFamily="2" charset="-79"/>
            </a:rPr>
            <a:t> Recovery Score</a:t>
          </a:r>
          <a:endParaRPr lang="en-MW" sz="1100" b="1">
            <a:solidFill>
              <a:sysClr val="windowText" lastClr="000000"/>
            </a:solidFill>
            <a:latin typeface="Aharoni" panose="02010803020104030203" pitchFamily="2" charset="-79"/>
            <a:cs typeface="Aharoni" panose="02010803020104030203" pitchFamily="2" charset="-79"/>
          </a:endParaRPr>
        </a:p>
      </xdr:txBody>
    </xdr:sp>
    <xdr:clientData/>
  </xdr:twoCellAnchor>
  <xdr:twoCellAnchor editAs="oneCell">
    <xdr:from>
      <xdr:col>5</xdr:col>
      <xdr:colOff>149748</xdr:colOff>
      <xdr:row>4</xdr:row>
      <xdr:rowOff>137188</xdr:rowOff>
    </xdr:from>
    <xdr:to>
      <xdr:col>6</xdr:col>
      <xdr:colOff>111648</xdr:colOff>
      <xdr:row>6</xdr:row>
      <xdr:rowOff>105438</xdr:rowOff>
    </xdr:to>
    <xdr:pic>
      <xdr:nvPicPr>
        <xdr:cNvPr id="15" name="Graphic 14" descr="Money outline">
          <a:extLst>
            <a:ext uri="{FF2B5EF4-FFF2-40B4-BE49-F238E27FC236}">
              <a16:creationId xmlns:a16="http://schemas.microsoft.com/office/drawing/2014/main" id="{1CC54076-4A12-FA00-4072-DC923604C5C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185188" y="862902"/>
          <a:ext cx="568987" cy="331107"/>
        </a:xfrm>
        <a:prstGeom prst="rect">
          <a:avLst/>
        </a:prstGeom>
      </xdr:spPr>
    </xdr:pic>
    <xdr:clientData/>
  </xdr:twoCellAnchor>
  <xdr:twoCellAnchor editAs="oneCell">
    <xdr:from>
      <xdr:col>3</xdr:col>
      <xdr:colOff>10300</xdr:colOff>
      <xdr:row>4</xdr:row>
      <xdr:rowOff>152400</xdr:rowOff>
    </xdr:from>
    <xdr:to>
      <xdr:col>3</xdr:col>
      <xdr:colOff>463550</xdr:colOff>
      <xdr:row>6</xdr:row>
      <xdr:rowOff>133350</xdr:rowOff>
    </xdr:to>
    <xdr:pic>
      <xdr:nvPicPr>
        <xdr:cNvPr id="17" name="Graphic 16" descr="Daily calendar with solid fill">
          <a:extLst>
            <a:ext uri="{FF2B5EF4-FFF2-40B4-BE49-F238E27FC236}">
              <a16:creationId xmlns:a16="http://schemas.microsoft.com/office/drawing/2014/main" id="{08B187F5-281E-1D69-2974-750BF1ED899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839100" y="889000"/>
          <a:ext cx="453250" cy="349250"/>
        </a:xfrm>
        <a:prstGeom prst="rect">
          <a:avLst/>
        </a:prstGeom>
      </xdr:spPr>
    </xdr:pic>
    <xdr:clientData/>
  </xdr:twoCellAnchor>
  <xdr:twoCellAnchor editAs="oneCell">
    <xdr:from>
      <xdr:col>8</xdr:col>
      <xdr:colOff>177660</xdr:colOff>
      <xdr:row>5</xdr:row>
      <xdr:rowOff>41868</xdr:rowOff>
    </xdr:from>
    <xdr:to>
      <xdr:col>8</xdr:col>
      <xdr:colOff>564160</xdr:colOff>
      <xdr:row>6</xdr:row>
      <xdr:rowOff>137118</xdr:rowOff>
    </xdr:to>
    <xdr:pic>
      <xdr:nvPicPr>
        <xdr:cNvPr id="19" name="Graphic 18" descr="Clock outline">
          <a:extLst>
            <a:ext uri="{FF2B5EF4-FFF2-40B4-BE49-F238E27FC236}">
              <a16:creationId xmlns:a16="http://schemas.microsoft.com/office/drawing/2014/main" id="{6A2D0D10-E08F-8963-6514-9F8E0CC0929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034363" y="949011"/>
          <a:ext cx="386500" cy="276678"/>
        </a:xfrm>
        <a:prstGeom prst="rect">
          <a:avLst/>
        </a:prstGeom>
      </xdr:spPr>
    </xdr:pic>
    <xdr:clientData/>
  </xdr:twoCellAnchor>
  <xdr:twoCellAnchor editAs="oneCell">
    <xdr:from>
      <xdr:col>0</xdr:col>
      <xdr:colOff>526200</xdr:colOff>
      <xdr:row>5</xdr:row>
      <xdr:rowOff>4650</xdr:rowOff>
    </xdr:from>
    <xdr:to>
      <xdr:col>1</xdr:col>
      <xdr:colOff>317500</xdr:colOff>
      <xdr:row>6</xdr:row>
      <xdr:rowOff>114300</xdr:rowOff>
    </xdr:to>
    <xdr:pic>
      <xdr:nvPicPr>
        <xdr:cNvPr id="21" name="Graphic 20" descr="Group of women with solid fill">
          <a:extLst>
            <a:ext uri="{FF2B5EF4-FFF2-40B4-BE49-F238E27FC236}">
              <a16:creationId xmlns:a16="http://schemas.microsoft.com/office/drawing/2014/main" id="{C2C3480D-E038-98C9-5E62-C7477352775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26200" y="925400"/>
          <a:ext cx="400900" cy="293800"/>
        </a:xfrm>
        <a:prstGeom prst="rect">
          <a:avLst/>
        </a:prstGeom>
      </xdr:spPr>
    </xdr:pic>
    <xdr:clientData/>
  </xdr:twoCellAnchor>
  <xdr:twoCellAnchor editAs="oneCell">
    <xdr:from>
      <xdr:col>10</xdr:col>
      <xdr:colOff>565150</xdr:colOff>
      <xdr:row>5</xdr:row>
      <xdr:rowOff>48318</xdr:rowOff>
    </xdr:from>
    <xdr:to>
      <xdr:col>11</xdr:col>
      <xdr:colOff>285750</xdr:colOff>
      <xdr:row>6</xdr:row>
      <xdr:rowOff>162695</xdr:rowOff>
    </xdr:to>
    <xdr:pic>
      <xdr:nvPicPr>
        <xdr:cNvPr id="23" name="Graphic 22" descr="Heart with pulse with solid fill">
          <a:extLst>
            <a:ext uri="{FF2B5EF4-FFF2-40B4-BE49-F238E27FC236}">
              <a16:creationId xmlns:a16="http://schemas.microsoft.com/office/drawing/2014/main" id="{C1CB3261-D9A5-5208-9688-4696EA5BC14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636029" y="955461"/>
          <a:ext cx="327688" cy="295805"/>
        </a:xfrm>
        <a:prstGeom prst="rect">
          <a:avLst/>
        </a:prstGeom>
      </xdr:spPr>
    </xdr:pic>
    <xdr:clientData/>
  </xdr:twoCellAnchor>
  <xdr:twoCellAnchor editAs="oneCell">
    <xdr:from>
      <xdr:col>4</xdr:col>
      <xdr:colOff>216600</xdr:colOff>
      <xdr:row>0</xdr:row>
      <xdr:rowOff>38100</xdr:rowOff>
    </xdr:from>
    <xdr:to>
      <xdr:col>5</xdr:col>
      <xdr:colOff>266700</xdr:colOff>
      <xdr:row>3</xdr:row>
      <xdr:rowOff>76200</xdr:rowOff>
    </xdr:to>
    <xdr:pic>
      <xdr:nvPicPr>
        <xdr:cNvPr id="25" name="Graphic 24" descr="Medical with solid fill">
          <a:extLst>
            <a:ext uri="{FF2B5EF4-FFF2-40B4-BE49-F238E27FC236}">
              <a16:creationId xmlns:a16="http://schemas.microsoft.com/office/drawing/2014/main" id="{DA9E247D-668E-ED58-FD2D-441330CD5291}"/>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655000" y="38100"/>
          <a:ext cx="659700" cy="590550"/>
        </a:xfrm>
        <a:prstGeom prst="rect">
          <a:avLst/>
        </a:prstGeom>
      </xdr:spPr>
    </xdr:pic>
    <xdr:clientData/>
  </xdr:twoCellAnchor>
  <xdr:twoCellAnchor>
    <xdr:from>
      <xdr:col>1</xdr:col>
      <xdr:colOff>317500</xdr:colOff>
      <xdr:row>5</xdr:row>
      <xdr:rowOff>44450</xdr:rowOff>
    </xdr:from>
    <xdr:to>
      <xdr:col>2</xdr:col>
      <xdr:colOff>177800</xdr:colOff>
      <xdr:row>6</xdr:row>
      <xdr:rowOff>107950</xdr:rowOff>
    </xdr:to>
    <xdr:sp macro="" textlink="Report!$A$4">
      <xdr:nvSpPr>
        <xdr:cNvPr id="26" name="TextBox 25">
          <a:extLst>
            <a:ext uri="{FF2B5EF4-FFF2-40B4-BE49-F238E27FC236}">
              <a16:creationId xmlns:a16="http://schemas.microsoft.com/office/drawing/2014/main" id="{EC8D5F51-5AD2-1A7A-931B-A71E8FF91B8C}"/>
            </a:ext>
          </a:extLst>
        </xdr:cNvPr>
        <xdr:cNvSpPr txBox="1"/>
      </xdr:nvSpPr>
      <xdr:spPr>
        <a:xfrm>
          <a:off x="927100" y="965200"/>
          <a:ext cx="469900" cy="247650"/>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DA32313-E325-40F1-8BED-6F93A8F9FD90}" type="TxLink">
            <a:rPr lang="en-US" sz="1100" b="1" i="0" u="none" strike="noStrike">
              <a:solidFill>
                <a:srgbClr val="000000"/>
              </a:solidFill>
              <a:latin typeface="Aptos Narrow"/>
            </a:rPr>
            <a:pPr/>
            <a:t>200</a:t>
          </a:fld>
          <a:endParaRPr lang="en-MW" sz="1100"/>
        </a:p>
      </xdr:txBody>
    </xdr:sp>
    <xdr:clientData/>
  </xdr:twoCellAnchor>
  <xdr:twoCellAnchor>
    <xdr:from>
      <xdr:col>6</xdr:col>
      <xdr:colOff>6350</xdr:colOff>
      <xdr:row>5</xdr:row>
      <xdr:rowOff>19050</xdr:rowOff>
    </xdr:from>
    <xdr:to>
      <xdr:col>7</xdr:col>
      <xdr:colOff>323850</xdr:colOff>
      <xdr:row>6</xdr:row>
      <xdr:rowOff>50800</xdr:rowOff>
    </xdr:to>
    <xdr:sp macro="" textlink="Report!$C$4">
      <xdr:nvSpPr>
        <xdr:cNvPr id="27" name="TextBox 26">
          <a:extLst>
            <a:ext uri="{FF2B5EF4-FFF2-40B4-BE49-F238E27FC236}">
              <a16:creationId xmlns:a16="http://schemas.microsoft.com/office/drawing/2014/main" id="{FE3D5822-2FB1-420D-A012-8EE91A061980}"/>
            </a:ext>
          </a:extLst>
        </xdr:cNvPr>
        <xdr:cNvSpPr txBox="1"/>
      </xdr:nvSpPr>
      <xdr:spPr>
        <a:xfrm>
          <a:off x="3648877" y="926193"/>
          <a:ext cx="924588" cy="213178"/>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D7CAD64-EA99-40AA-89FF-271883778033}" type="TxLink">
            <a:rPr lang="en-US" sz="1100" b="1" i="0" u="none" strike="noStrike">
              <a:solidFill>
                <a:srgbClr val="000000"/>
              </a:solidFill>
              <a:latin typeface="Aptos Narrow"/>
            </a:rPr>
            <a:pPr/>
            <a:t> $79,698.51 </a:t>
          </a:fld>
          <a:endParaRPr lang="en-MW" sz="1100"/>
        </a:p>
      </xdr:txBody>
    </xdr:sp>
    <xdr:clientData/>
  </xdr:twoCellAnchor>
  <xdr:twoCellAnchor>
    <xdr:from>
      <xdr:col>8</xdr:col>
      <xdr:colOff>521887</xdr:colOff>
      <xdr:row>5</xdr:row>
      <xdr:rowOff>47590</xdr:rowOff>
    </xdr:from>
    <xdr:to>
      <xdr:col>9</xdr:col>
      <xdr:colOff>382187</xdr:colOff>
      <xdr:row>6</xdr:row>
      <xdr:rowOff>111090</xdr:rowOff>
    </xdr:to>
    <xdr:sp macro="" textlink="Report!D4">
      <xdr:nvSpPr>
        <xdr:cNvPr id="28" name="TextBox 27">
          <a:extLst>
            <a:ext uri="{FF2B5EF4-FFF2-40B4-BE49-F238E27FC236}">
              <a16:creationId xmlns:a16="http://schemas.microsoft.com/office/drawing/2014/main" id="{F1CBB755-A146-4AD1-B035-9A38D514E493}"/>
            </a:ext>
          </a:extLst>
        </xdr:cNvPr>
        <xdr:cNvSpPr txBox="1"/>
      </xdr:nvSpPr>
      <xdr:spPr>
        <a:xfrm>
          <a:off x="5378590" y="954733"/>
          <a:ext cx="467388" cy="244928"/>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1CBC56F-74C1-4A2E-BF00-5E59214B5001}" type="TxLink">
            <a:rPr lang="en-US" sz="1100" b="1" i="0" u="none" strike="noStrike">
              <a:solidFill>
                <a:srgbClr val="000000"/>
              </a:solidFill>
              <a:latin typeface="Aptos Narrow"/>
            </a:rPr>
            <a:pPr/>
            <a:t>16</a:t>
          </a:fld>
          <a:endParaRPr lang="en-MW" sz="1100"/>
        </a:p>
      </xdr:txBody>
    </xdr:sp>
    <xdr:clientData/>
  </xdr:twoCellAnchor>
  <xdr:twoCellAnchor>
    <xdr:from>
      <xdr:col>11</xdr:col>
      <xdr:colOff>271724</xdr:colOff>
      <xdr:row>5</xdr:row>
      <xdr:rowOff>39357</xdr:rowOff>
    </xdr:from>
    <xdr:to>
      <xdr:col>12</xdr:col>
      <xdr:colOff>132024</xdr:colOff>
      <xdr:row>6</xdr:row>
      <xdr:rowOff>102857</xdr:rowOff>
    </xdr:to>
    <xdr:sp macro="" textlink="Report!E4">
      <xdr:nvSpPr>
        <xdr:cNvPr id="29" name="TextBox 28">
          <a:extLst>
            <a:ext uri="{FF2B5EF4-FFF2-40B4-BE49-F238E27FC236}">
              <a16:creationId xmlns:a16="http://schemas.microsoft.com/office/drawing/2014/main" id="{3753CFEC-2580-482D-8790-FE483E3E5711}"/>
            </a:ext>
          </a:extLst>
        </xdr:cNvPr>
        <xdr:cNvSpPr txBox="1"/>
      </xdr:nvSpPr>
      <xdr:spPr>
        <a:xfrm>
          <a:off x="6949691" y="946500"/>
          <a:ext cx="467388" cy="244928"/>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9B5B200-877E-42C2-86F1-D78A237FEE3F}" type="TxLink">
            <a:rPr lang="en-US" sz="1100" b="1" i="0" u="none" strike="noStrike">
              <a:solidFill>
                <a:srgbClr val="000000"/>
              </a:solidFill>
              <a:latin typeface="Aptos Narrow"/>
            </a:rPr>
            <a:pPr/>
            <a:t>70.4</a:t>
          </a:fld>
          <a:endParaRPr lang="en-MW" sz="1100"/>
        </a:p>
      </xdr:txBody>
    </xdr:sp>
    <xdr:clientData/>
  </xdr:twoCellAnchor>
  <xdr:twoCellAnchor>
    <xdr:from>
      <xdr:col>3</xdr:col>
      <xdr:colOff>406400</xdr:colOff>
      <xdr:row>5</xdr:row>
      <xdr:rowOff>19050</xdr:rowOff>
    </xdr:from>
    <xdr:to>
      <xdr:col>4</xdr:col>
      <xdr:colOff>266700</xdr:colOff>
      <xdr:row>6</xdr:row>
      <xdr:rowOff>82550</xdr:rowOff>
    </xdr:to>
    <xdr:sp macro="" textlink="Report!$B$4">
      <xdr:nvSpPr>
        <xdr:cNvPr id="30" name="TextBox 29">
          <a:extLst>
            <a:ext uri="{FF2B5EF4-FFF2-40B4-BE49-F238E27FC236}">
              <a16:creationId xmlns:a16="http://schemas.microsoft.com/office/drawing/2014/main" id="{4534F4A6-AA8E-4425-B15A-BB64798BAB9D}"/>
            </a:ext>
          </a:extLst>
        </xdr:cNvPr>
        <xdr:cNvSpPr txBox="1"/>
      </xdr:nvSpPr>
      <xdr:spPr>
        <a:xfrm>
          <a:off x="2235200" y="939800"/>
          <a:ext cx="469900" cy="247650"/>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2B9959F-6A85-4515-9C58-788F423BC997}" type="TxLink">
            <a:rPr lang="en-US" sz="1100" b="1" i="0" u="none" strike="noStrike">
              <a:solidFill>
                <a:srgbClr val="000000"/>
              </a:solidFill>
              <a:latin typeface="Aptos Narrow"/>
            </a:rPr>
            <a:pPr/>
            <a:t>42</a:t>
          </a:fld>
          <a:endParaRPr lang="en-MW" sz="1100"/>
        </a:p>
      </xdr:txBody>
    </xdr:sp>
    <xdr:clientData/>
  </xdr:twoCellAnchor>
  <xdr:twoCellAnchor>
    <xdr:from>
      <xdr:col>0</xdr:col>
      <xdr:colOff>311150</xdr:colOff>
      <xdr:row>7</xdr:row>
      <xdr:rowOff>0</xdr:rowOff>
    </xdr:from>
    <xdr:to>
      <xdr:col>4</xdr:col>
      <xdr:colOff>495439</xdr:colOff>
      <xdr:row>16</xdr:row>
      <xdr:rowOff>158750</xdr:rowOff>
    </xdr:to>
    <xdr:graphicFrame macro="">
      <xdr:nvGraphicFramePr>
        <xdr:cNvPr id="5" name="Chart 4">
          <a:extLst>
            <a:ext uri="{FF2B5EF4-FFF2-40B4-BE49-F238E27FC236}">
              <a16:creationId xmlns:a16="http://schemas.microsoft.com/office/drawing/2014/main" id="{48BA2E05-4E88-4B71-92CD-79DF955239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13</xdr:col>
      <xdr:colOff>341993</xdr:colOff>
      <xdr:row>3</xdr:row>
      <xdr:rowOff>124976</xdr:rowOff>
    </xdr:from>
    <xdr:to>
      <xdr:col>16</xdr:col>
      <xdr:colOff>530329</xdr:colOff>
      <xdr:row>7</xdr:row>
      <xdr:rowOff>13398</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D31D2BE1-895D-4065-B735-92261E260EA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253035" y="680601"/>
              <a:ext cx="2013961" cy="629255"/>
            </a:xfrm>
            <a:prstGeom prst="rect">
              <a:avLst/>
            </a:prstGeom>
            <a:solidFill>
              <a:prstClr val="white"/>
            </a:solidFill>
            <a:ln w="1">
              <a:solidFill>
                <a:prstClr val="green"/>
              </a:solidFill>
            </a:ln>
          </xdr:spPr>
          <xdr:txBody>
            <a:bodyPr vertOverflow="clip" horzOverflow="clip"/>
            <a:lstStyle/>
            <a:p>
              <a:r>
                <a:rPr lang="en-MW"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341923</xdr:colOff>
      <xdr:row>7</xdr:row>
      <xdr:rowOff>34888</xdr:rowOff>
    </xdr:from>
    <xdr:to>
      <xdr:col>16</xdr:col>
      <xdr:colOff>546805</xdr:colOff>
      <xdr:row>15</xdr:row>
      <xdr:rowOff>41868</xdr:rowOff>
    </xdr:to>
    <mc:AlternateContent xmlns:mc="http://schemas.openxmlformats.org/markup-compatibility/2006" xmlns:a14="http://schemas.microsoft.com/office/drawing/2010/main">
      <mc:Choice Requires="a14">
        <xdr:graphicFrame macro="">
          <xdr:nvGraphicFramePr>
            <xdr:cNvPr id="7" name="Doctor Name">
              <a:extLst>
                <a:ext uri="{FF2B5EF4-FFF2-40B4-BE49-F238E27FC236}">
                  <a16:creationId xmlns:a16="http://schemas.microsoft.com/office/drawing/2014/main" id="{E5691323-5FB3-4D2B-8CE0-6E45F22107EF}"/>
                </a:ext>
              </a:extLst>
            </xdr:cNvPr>
            <xdr:cNvGraphicFramePr/>
          </xdr:nvGraphicFramePr>
          <xdr:xfrm>
            <a:off x="0" y="0"/>
            <a:ext cx="0" cy="0"/>
          </xdr:xfrm>
          <a:graphic>
            <a:graphicData uri="http://schemas.microsoft.com/office/drawing/2010/slicer">
              <sle:slicer xmlns:sle="http://schemas.microsoft.com/office/drawing/2010/slicer" name="Doctor Name"/>
            </a:graphicData>
          </a:graphic>
        </xdr:graphicFrame>
      </mc:Choice>
      <mc:Fallback xmlns="">
        <xdr:sp macro="" textlink="">
          <xdr:nvSpPr>
            <xdr:cNvPr id="0" name=""/>
            <xdr:cNvSpPr>
              <a:spLocks noTextEdit="1"/>
            </xdr:cNvSpPr>
          </xdr:nvSpPr>
          <xdr:spPr>
            <a:xfrm>
              <a:off x="8252965" y="1331346"/>
              <a:ext cx="2030507" cy="1488647"/>
            </a:xfrm>
            <a:prstGeom prst="rect">
              <a:avLst/>
            </a:prstGeom>
            <a:solidFill>
              <a:prstClr val="white"/>
            </a:solidFill>
            <a:ln w="1">
              <a:solidFill>
                <a:prstClr val="green"/>
              </a:solidFill>
            </a:ln>
          </xdr:spPr>
          <xdr:txBody>
            <a:bodyPr vertOverflow="clip" horzOverflow="clip"/>
            <a:lstStyle/>
            <a:p>
              <a:r>
                <a:rPr lang="en-MW"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334943</xdr:colOff>
      <xdr:row>15</xdr:row>
      <xdr:rowOff>69778</xdr:rowOff>
    </xdr:from>
    <xdr:to>
      <xdr:col>16</xdr:col>
      <xdr:colOff>537986</xdr:colOff>
      <xdr:row>21</xdr:row>
      <xdr:rowOff>167472</xdr:rowOff>
    </xdr:to>
    <mc:AlternateContent xmlns:mc="http://schemas.openxmlformats.org/markup-compatibility/2006" xmlns:a14="http://schemas.microsoft.com/office/drawing/2010/main">
      <mc:Choice Requires="a14">
        <xdr:graphicFrame macro="">
          <xdr:nvGraphicFramePr>
            <xdr:cNvPr id="8" name="Treatment Type">
              <a:extLst>
                <a:ext uri="{FF2B5EF4-FFF2-40B4-BE49-F238E27FC236}">
                  <a16:creationId xmlns:a16="http://schemas.microsoft.com/office/drawing/2014/main" id="{CCA3AFED-CC08-4BA0-A778-4163639F0B3C}"/>
                </a:ext>
              </a:extLst>
            </xdr:cNvPr>
            <xdr:cNvGraphicFramePr/>
          </xdr:nvGraphicFramePr>
          <xdr:xfrm>
            <a:off x="0" y="0"/>
            <a:ext cx="0" cy="0"/>
          </xdr:xfrm>
          <a:graphic>
            <a:graphicData uri="http://schemas.microsoft.com/office/drawing/2010/slicer">
              <sle:slicer xmlns:sle="http://schemas.microsoft.com/office/drawing/2010/slicer" name="Treatment Type"/>
            </a:graphicData>
          </a:graphic>
        </xdr:graphicFrame>
      </mc:Choice>
      <mc:Fallback xmlns="">
        <xdr:sp macro="" textlink="">
          <xdr:nvSpPr>
            <xdr:cNvPr id="0" name=""/>
            <xdr:cNvSpPr>
              <a:spLocks noTextEdit="1"/>
            </xdr:cNvSpPr>
          </xdr:nvSpPr>
          <xdr:spPr>
            <a:xfrm>
              <a:off x="8245985" y="2847903"/>
              <a:ext cx="2028668" cy="1208944"/>
            </a:xfrm>
            <a:prstGeom prst="rect">
              <a:avLst/>
            </a:prstGeom>
            <a:solidFill>
              <a:prstClr val="white"/>
            </a:solidFill>
            <a:ln w="1">
              <a:solidFill>
                <a:prstClr val="green"/>
              </a:solidFill>
            </a:ln>
          </xdr:spPr>
          <xdr:txBody>
            <a:bodyPr vertOverflow="clip" horzOverflow="clip"/>
            <a:lstStyle/>
            <a:p>
              <a:r>
                <a:rPr lang="en-MW"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333878</xdr:colOff>
      <xdr:row>21</xdr:row>
      <xdr:rowOff>183132</xdr:rowOff>
    </xdr:from>
    <xdr:to>
      <xdr:col>16</xdr:col>
      <xdr:colOff>546805</xdr:colOff>
      <xdr:row>28</xdr:row>
      <xdr:rowOff>70846</xdr:rowOff>
    </xdr:to>
    <mc:AlternateContent xmlns:mc="http://schemas.openxmlformats.org/markup-compatibility/2006" xmlns:a14="http://schemas.microsoft.com/office/drawing/2010/main">
      <mc:Choice Requires="a14">
        <xdr:graphicFrame macro="">
          <xdr:nvGraphicFramePr>
            <xdr:cNvPr id="9" name="Department">
              <a:extLst>
                <a:ext uri="{FF2B5EF4-FFF2-40B4-BE49-F238E27FC236}">
                  <a16:creationId xmlns:a16="http://schemas.microsoft.com/office/drawing/2014/main" id="{429A3159-05A7-4F35-95A7-E270A9FA462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244920" y="4072507"/>
              <a:ext cx="2038552" cy="1184172"/>
            </a:xfrm>
            <a:prstGeom prst="rect">
              <a:avLst/>
            </a:prstGeom>
            <a:solidFill>
              <a:prstClr val="white"/>
            </a:solidFill>
            <a:ln w="1">
              <a:solidFill>
                <a:prstClr val="green"/>
              </a:solidFill>
            </a:ln>
          </xdr:spPr>
          <xdr:txBody>
            <a:bodyPr vertOverflow="clip" horzOverflow="clip"/>
            <a:lstStyle/>
            <a:p>
              <a:r>
                <a:rPr lang="en-MW"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285750</xdr:colOff>
      <xdr:row>17</xdr:row>
      <xdr:rowOff>50800</xdr:rowOff>
    </xdr:from>
    <xdr:to>
      <xdr:col>4</xdr:col>
      <xdr:colOff>508000</xdr:colOff>
      <xdr:row>28</xdr:row>
      <xdr:rowOff>114300</xdr:rowOff>
    </xdr:to>
    <mc:AlternateContent xmlns:mc="http://schemas.openxmlformats.org/markup-compatibility/2006">
      <mc:Choice xmlns:cx2="http://schemas.microsoft.com/office/drawing/2015/10/21/chartex" Requires="cx2">
        <xdr:graphicFrame macro="">
          <xdr:nvGraphicFramePr>
            <xdr:cNvPr id="14" name="Chart 13">
              <a:extLst>
                <a:ext uri="{FF2B5EF4-FFF2-40B4-BE49-F238E27FC236}">
                  <a16:creationId xmlns:a16="http://schemas.microsoft.com/office/drawing/2014/main" id="{8FA034B4-2FEE-427E-AB54-30A1E465C74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285750" y="3181350"/>
              <a:ext cx="2660650" cy="2089150"/>
            </a:xfrm>
            <a:prstGeom prst="rect">
              <a:avLst/>
            </a:prstGeom>
            <a:solidFill>
              <a:prstClr val="white"/>
            </a:solidFill>
            <a:ln w="1">
              <a:solidFill>
                <a:prstClr val="green"/>
              </a:solidFill>
            </a:ln>
          </xdr:spPr>
          <xdr:txBody>
            <a:bodyPr vertOverflow="clip" horzOverflow="clip"/>
            <a:lstStyle/>
            <a:p>
              <a:r>
                <a:rPr lang="en-MW"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576037</xdr:colOff>
      <xdr:row>7</xdr:row>
      <xdr:rowOff>4605</xdr:rowOff>
    </xdr:from>
    <xdr:to>
      <xdr:col>9</xdr:col>
      <xdr:colOff>244232</xdr:colOff>
      <xdr:row>17</xdr:row>
      <xdr:rowOff>27284</xdr:rowOff>
    </xdr:to>
    <xdr:graphicFrame macro="">
      <xdr:nvGraphicFramePr>
        <xdr:cNvPr id="16" name="Chart 15">
          <a:extLst>
            <a:ext uri="{FF2B5EF4-FFF2-40B4-BE49-F238E27FC236}">
              <a16:creationId xmlns:a16="http://schemas.microsoft.com/office/drawing/2014/main" id="{D6BFAAE6-010B-4B24-9B3B-2590308716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588109</xdr:colOff>
      <xdr:row>17</xdr:row>
      <xdr:rowOff>108578</xdr:rowOff>
    </xdr:from>
    <xdr:to>
      <xdr:col>9</xdr:col>
      <xdr:colOff>230276</xdr:colOff>
      <xdr:row>28</xdr:row>
      <xdr:rowOff>114928</xdr:rowOff>
    </xdr:to>
    <xdr:graphicFrame macro="">
      <xdr:nvGraphicFramePr>
        <xdr:cNvPr id="22" name="Chart 21">
          <a:extLst>
            <a:ext uri="{FF2B5EF4-FFF2-40B4-BE49-F238E27FC236}">
              <a16:creationId xmlns:a16="http://schemas.microsoft.com/office/drawing/2014/main" id="{74E7486F-9217-4CEA-9381-86C2E4828B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300054</xdr:colOff>
      <xdr:row>7</xdr:row>
      <xdr:rowOff>27912</xdr:rowOff>
    </xdr:from>
    <xdr:to>
      <xdr:col>13</xdr:col>
      <xdr:colOff>265164</xdr:colOff>
      <xdr:row>17</xdr:row>
      <xdr:rowOff>27911</xdr:rowOff>
    </xdr:to>
    <xdr:graphicFrame macro="">
      <xdr:nvGraphicFramePr>
        <xdr:cNvPr id="20" name="Chart 19">
          <a:extLst>
            <a:ext uri="{FF2B5EF4-FFF2-40B4-BE49-F238E27FC236}">
              <a16:creationId xmlns:a16="http://schemas.microsoft.com/office/drawing/2014/main" id="{CB2448A3-EEAA-4E83-A247-9C247A48D3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6</xdr:col>
      <xdr:colOff>185207</xdr:colOff>
      <xdr:row>29</xdr:row>
      <xdr:rowOff>105834</xdr:rowOff>
    </xdr:from>
    <xdr:to>
      <xdr:col>10</xdr:col>
      <xdr:colOff>185207</xdr:colOff>
      <xdr:row>30</xdr:row>
      <xdr:rowOff>176390</xdr:rowOff>
    </xdr:to>
    <xdr:sp macro="" textlink="">
      <xdr:nvSpPr>
        <xdr:cNvPr id="24" name="TextBox 23">
          <a:extLst>
            <a:ext uri="{FF2B5EF4-FFF2-40B4-BE49-F238E27FC236}">
              <a16:creationId xmlns:a16="http://schemas.microsoft.com/office/drawing/2014/main" id="{0D975FA2-7ABB-C3A2-2CE7-8AB636EC936E}"/>
            </a:ext>
          </a:extLst>
        </xdr:cNvPr>
        <xdr:cNvSpPr txBox="1"/>
      </xdr:nvSpPr>
      <xdr:spPr>
        <a:xfrm>
          <a:off x="3836457" y="5476876"/>
          <a:ext cx="2434167" cy="255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By: Ezra HABUMUKIZA | 0780510913</a:t>
          </a:r>
          <a:endParaRPr lang="en-MW" sz="1100" b="1">
            <a:solidFill>
              <a:schemeClr val="bg1"/>
            </a:solidFill>
          </a:endParaRPr>
        </a:p>
      </xdr:txBody>
    </xdr:sp>
    <xdr:clientData/>
  </xdr:twoCellAnchor>
  <xdr:twoCellAnchor>
    <xdr:from>
      <xdr:col>9</xdr:col>
      <xdr:colOff>308681</xdr:colOff>
      <xdr:row>17</xdr:row>
      <xdr:rowOff>105834</xdr:rowOff>
    </xdr:from>
    <xdr:to>
      <xdr:col>13</xdr:col>
      <xdr:colOff>229306</xdr:colOff>
      <xdr:row>28</xdr:row>
      <xdr:rowOff>97015</xdr:rowOff>
    </xdr:to>
    <xdr:graphicFrame macro="">
      <xdr:nvGraphicFramePr>
        <xdr:cNvPr id="18" name="Chart 17">
          <a:extLst>
            <a:ext uri="{FF2B5EF4-FFF2-40B4-BE49-F238E27FC236}">
              <a16:creationId xmlns:a16="http://schemas.microsoft.com/office/drawing/2014/main" id="{641146AB-7DC2-4473-8369-AEEF2B9B9E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0.09621</cdr:x>
      <cdr:y>0.03077</cdr:y>
    </cdr:from>
    <cdr:to>
      <cdr:x>0.98251</cdr:x>
      <cdr:y>0.27308</cdr:y>
    </cdr:to>
    <cdr:sp macro="" textlink="">
      <cdr:nvSpPr>
        <cdr:cNvPr id="2" name="TextBox 1">
          <a:extLst xmlns:a="http://schemas.openxmlformats.org/drawingml/2006/main">
            <a:ext uri="{FF2B5EF4-FFF2-40B4-BE49-F238E27FC236}">
              <a16:creationId xmlns:a16="http://schemas.microsoft.com/office/drawing/2014/main" id="{62058CF4-FE94-E1B2-9337-60D56E555633}"/>
            </a:ext>
          </a:extLst>
        </cdr:cNvPr>
        <cdr:cNvSpPr txBox="1"/>
      </cdr:nvSpPr>
      <cdr:spPr>
        <a:xfrm xmlns:a="http://schemas.openxmlformats.org/drawingml/2006/main">
          <a:off x="230275" y="55824"/>
          <a:ext cx="2121320" cy="439615"/>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pPr algn="ctr"/>
          <a:r>
            <a:rPr lang="rw-RW" sz="900" kern="1200">
              <a:latin typeface="Aharoni" panose="02010803020104030203" pitchFamily="2" charset="-79"/>
              <a:cs typeface="Aharoni" panose="02010803020104030203" pitchFamily="2" charset="-79"/>
            </a:rPr>
            <a:t>Average Recovery Score by Age Gender</a:t>
          </a:r>
          <a:endParaRPr lang="en-MW" sz="900" kern="1200">
            <a:latin typeface="Aharoni" panose="02010803020104030203" pitchFamily="2" charset="-79"/>
            <a:cs typeface="Aharoni" panose="02010803020104030203" pitchFamily="2" charset="-79"/>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38.680118518518" createdVersion="8" refreshedVersion="8" minRefreshableVersion="3" recordCount="200" xr:uid="{6B99D948-5307-454E-A97F-7EC805FE2998}">
  <cacheSource type="worksheet">
    <worksheetSource name="Patient_Data"/>
  </cacheSource>
  <cacheFields count="12">
    <cacheField name="Patient ID" numFmtId="0">
      <sharedItems/>
    </cacheField>
    <cacheField name="Department" numFmtId="0">
      <sharedItems count="6">
        <s v="Gastroenterology"/>
        <s v="Pediatrics"/>
        <s v="Orthopedics"/>
        <s v="Cardiology"/>
        <s v="Neurology"/>
        <s v="Oncology"/>
      </sharedItems>
    </cacheField>
    <cacheField name="Treatment Type" numFmtId="0">
      <sharedItems count="4">
        <s v="Therapy"/>
        <s v="Medication"/>
        <s v="Observation"/>
        <s v="Surgery"/>
      </sharedItems>
    </cacheField>
    <cacheField name="Doctor Name" numFmtId="0">
      <sharedItems count="5">
        <s v="Dr. L. Khan"/>
        <s v="Dr. M. Patel"/>
        <s v="Dr. T. Mehta"/>
        <s v="Dr. A. Sharma"/>
        <s v="Dr. R. Singh"/>
      </sharedItems>
    </cacheField>
    <cacheField name="Gender" numFmtId="0">
      <sharedItems count="3">
        <s v="Female"/>
        <s v="Male"/>
        <s v="Other"/>
      </sharedItems>
    </cacheField>
    <cacheField name="Age" numFmtId="0">
      <sharedItems containsSemiMixedTypes="0" containsString="0" containsNumber="1" containsInteger="1" minValue="1" maxValue="90"/>
    </cacheField>
    <cacheField name="Treatment Cost" numFmtId="0">
      <sharedItems containsSemiMixedTypes="0" containsString="0" containsNumber="1" minValue="5444.8" maxValue="149340.16"/>
    </cacheField>
    <cacheField name="Hospital Stay (Days)" numFmtId="0">
      <sharedItems containsSemiMixedTypes="0" containsString="0" containsNumber="1" containsInteger="1" minValue="1" maxValue="30"/>
    </cacheField>
    <cacheField name="Recovery Score" numFmtId="0">
      <sharedItems containsSemiMixedTypes="0" containsString="0" containsNumber="1" containsInteger="1" minValue="40" maxValue="100"/>
    </cacheField>
    <cacheField name="Cost Category" numFmtId="0">
      <sharedItems count="3">
        <s v="Medium Cost"/>
        <s v="Low Cost"/>
        <s v="High Cost"/>
      </sharedItems>
    </cacheField>
    <cacheField name="Age Group" numFmtId="0">
      <sharedItems count="8">
        <s v="Child"/>
        <s v="Middle-aged"/>
        <s v="Elderly"/>
        <s v="Young Adult"/>
        <s v="Adult"/>
        <s v="Senior"/>
        <s v="Teenager"/>
        <s v="Infant / Toddler"/>
      </sharedItems>
    </cacheField>
    <cacheField name="AgeGrp Code" numFmtId="0">
      <sharedItems containsSemiMixedTypes="0" containsString="0" containsNumber="1" containsInteger="1" minValue="1" maxValue="8"/>
    </cacheField>
  </cacheFields>
  <extLst>
    <ext xmlns:x14="http://schemas.microsoft.com/office/spreadsheetml/2009/9/main" uri="{725AE2AE-9491-48be-B2B4-4EB974FC3084}">
      <x14:pivotCacheDefinition pivotCacheId="19075967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P1001"/>
    <x v="0"/>
    <x v="0"/>
    <x v="0"/>
    <x v="0"/>
    <n v="12"/>
    <n v="68632.97"/>
    <n v="21"/>
    <n v="82"/>
    <x v="0"/>
    <x v="0"/>
    <n v="2"/>
  </r>
  <r>
    <s v="P1002"/>
    <x v="1"/>
    <x v="1"/>
    <x v="1"/>
    <x v="1"/>
    <n v="52"/>
    <n v="10231.42"/>
    <n v="20"/>
    <n v="42"/>
    <x v="1"/>
    <x v="1"/>
    <n v="6"/>
  </r>
  <r>
    <s v="P1003"/>
    <x v="1"/>
    <x v="0"/>
    <x v="0"/>
    <x v="1"/>
    <n v="79"/>
    <n v="10160.24"/>
    <n v="2"/>
    <n v="72"/>
    <x v="1"/>
    <x v="2"/>
    <n v="8"/>
  </r>
  <r>
    <s v="P1004"/>
    <x v="1"/>
    <x v="0"/>
    <x v="0"/>
    <x v="0"/>
    <n v="23"/>
    <n v="103508.96"/>
    <n v="20"/>
    <n v="50"/>
    <x v="2"/>
    <x v="3"/>
    <n v="4"/>
  </r>
  <r>
    <s v="P1005"/>
    <x v="2"/>
    <x v="1"/>
    <x v="2"/>
    <x v="0"/>
    <n v="7"/>
    <n v="143427.51999999999"/>
    <n v="6"/>
    <n v="43"/>
    <x v="2"/>
    <x v="0"/>
    <n v="2"/>
  </r>
  <r>
    <s v="P1006"/>
    <x v="3"/>
    <x v="1"/>
    <x v="3"/>
    <x v="0"/>
    <n v="78"/>
    <n v="146252.19"/>
    <n v="9"/>
    <n v="41"/>
    <x v="2"/>
    <x v="2"/>
    <n v="8"/>
  </r>
  <r>
    <s v="P1007"/>
    <x v="3"/>
    <x v="2"/>
    <x v="1"/>
    <x v="2"/>
    <n v="30"/>
    <n v="54393.48"/>
    <n v="1"/>
    <n v="42"/>
    <x v="0"/>
    <x v="4"/>
    <n v="5"/>
  </r>
  <r>
    <s v="P1008"/>
    <x v="4"/>
    <x v="2"/>
    <x v="4"/>
    <x v="2"/>
    <n v="68"/>
    <n v="30452.22"/>
    <n v="6"/>
    <n v="77"/>
    <x v="1"/>
    <x v="5"/>
    <n v="7"/>
  </r>
  <r>
    <s v="P1009"/>
    <x v="0"/>
    <x v="2"/>
    <x v="0"/>
    <x v="2"/>
    <n v="41"/>
    <n v="79517.25"/>
    <n v="9"/>
    <n v="62"/>
    <x v="0"/>
    <x v="4"/>
    <n v="5"/>
  </r>
  <r>
    <s v="P1010"/>
    <x v="1"/>
    <x v="1"/>
    <x v="2"/>
    <x v="2"/>
    <n v="56"/>
    <n v="116558.38"/>
    <n v="24"/>
    <n v="48"/>
    <x v="2"/>
    <x v="1"/>
    <n v="6"/>
  </r>
  <r>
    <s v="P1011"/>
    <x v="5"/>
    <x v="1"/>
    <x v="2"/>
    <x v="0"/>
    <n v="24"/>
    <n v="135883.74"/>
    <n v="15"/>
    <n v="54"/>
    <x v="2"/>
    <x v="3"/>
    <n v="4"/>
  </r>
  <r>
    <s v="P1012"/>
    <x v="1"/>
    <x v="2"/>
    <x v="1"/>
    <x v="0"/>
    <n v="62"/>
    <n v="148179.98000000001"/>
    <n v="11"/>
    <n v="87"/>
    <x v="2"/>
    <x v="5"/>
    <n v="7"/>
  </r>
  <r>
    <s v="P1013"/>
    <x v="3"/>
    <x v="2"/>
    <x v="4"/>
    <x v="0"/>
    <n v="65"/>
    <n v="20591.650000000001"/>
    <n v="28"/>
    <n v="52"/>
    <x v="1"/>
    <x v="5"/>
    <n v="7"/>
  </r>
  <r>
    <s v="P1014"/>
    <x v="0"/>
    <x v="2"/>
    <x v="0"/>
    <x v="0"/>
    <n v="13"/>
    <n v="59149.07"/>
    <n v="19"/>
    <n v="86"/>
    <x v="0"/>
    <x v="6"/>
    <n v="3"/>
  </r>
  <r>
    <s v="P1015"/>
    <x v="0"/>
    <x v="3"/>
    <x v="3"/>
    <x v="1"/>
    <n v="39"/>
    <n v="59335.72"/>
    <n v="28"/>
    <n v="80"/>
    <x v="0"/>
    <x v="4"/>
    <n v="5"/>
  </r>
  <r>
    <s v="P1016"/>
    <x v="2"/>
    <x v="1"/>
    <x v="0"/>
    <x v="1"/>
    <n v="85"/>
    <n v="101936.34"/>
    <n v="27"/>
    <n v="99"/>
    <x v="2"/>
    <x v="2"/>
    <n v="8"/>
  </r>
  <r>
    <s v="P1017"/>
    <x v="2"/>
    <x v="3"/>
    <x v="0"/>
    <x v="1"/>
    <n v="52"/>
    <n v="107481.12"/>
    <n v="8"/>
    <n v="93"/>
    <x v="2"/>
    <x v="1"/>
    <n v="6"/>
  </r>
  <r>
    <s v="P1018"/>
    <x v="5"/>
    <x v="0"/>
    <x v="2"/>
    <x v="1"/>
    <n v="25"/>
    <n v="142574.53"/>
    <n v="30"/>
    <n v="99"/>
    <x v="2"/>
    <x v="3"/>
    <n v="4"/>
  </r>
  <r>
    <s v="P1019"/>
    <x v="1"/>
    <x v="3"/>
    <x v="2"/>
    <x v="1"/>
    <n v="1"/>
    <n v="43174.44"/>
    <n v="24"/>
    <n v="100"/>
    <x v="1"/>
    <x v="7"/>
    <n v="1"/>
  </r>
  <r>
    <s v="P1020"/>
    <x v="4"/>
    <x v="1"/>
    <x v="0"/>
    <x v="0"/>
    <n v="3"/>
    <n v="125171.58"/>
    <n v="30"/>
    <n v="89"/>
    <x v="2"/>
    <x v="7"/>
    <n v="1"/>
  </r>
  <r>
    <s v="P1021"/>
    <x v="1"/>
    <x v="0"/>
    <x v="3"/>
    <x v="1"/>
    <n v="31"/>
    <n v="51842.34"/>
    <n v="15"/>
    <n v="74"/>
    <x v="1"/>
    <x v="4"/>
    <n v="5"/>
  </r>
  <r>
    <s v="P1022"/>
    <x v="5"/>
    <x v="0"/>
    <x v="3"/>
    <x v="1"/>
    <n v="66"/>
    <n v="30547.73"/>
    <n v="11"/>
    <n v="47"/>
    <x v="1"/>
    <x v="5"/>
    <n v="7"/>
  </r>
  <r>
    <s v="P1023"/>
    <x v="2"/>
    <x v="0"/>
    <x v="4"/>
    <x v="1"/>
    <n v="68"/>
    <n v="68961.679999999993"/>
    <n v="5"/>
    <n v="67"/>
    <x v="0"/>
    <x v="5"/>
    <n v="7"/>
  </r>
  <r>
    <s v="P1024"/>
    <x v="5"/>
    <x v="0"/>
    <x v="4"/>
    <x v="2"/>
    <n v="75"/>
    <n v="89887.05"/>
    <n v="28"/>
    <n v="92"/>
    <x v="0"/>
    <x v="2"/>
    <n v="8"/>
  </r>
  <r>
    <s v="P1025"/>
    <x v="1"/>
    <x v="1"/>
    <x v="0"/>
    <x v="1"/>
    <n v="35"/>
    <n v="54350.5"/>
    <n v="24"/>
    <n v="70"/>
    <x v="0"/>
    <x v="4"/>
    <n v="5"/>
  </r>
  <r>
    <s v="P1026"/>
    <x v="4"/>
    <x v="0"/>
    <x v="2"/>
    <x v="1"/>
    <n v="56"/>
    <n v="47635.12"/>
    <n v="3"/>
    <n v="47"/>
    <x v="1"/>
    <x v="1"/>
    <n v="6"/>
  </r>
  <r>
    <s v="P1027"/>
    <x v="2"/>
    <x v="3"/>
    <x v="2"/>
    <x v="2"/>
    <n v="34"/>
    <n v="136077.99"/>
    <n v="25"/>
    <n v="58"/>
    <x v="2"/>
    <x v="4"/>
    <n v="5"/>
  </r>
  <r>
    <s v="P1028"/>
    <x v="3"/>
    <x v="0"/>
    <x v="2"/>
    <x v="1"/>
    <n v="31"/>
    <n v="103276.56"/>
    <n v="30"/>
    <n v="84"/>
    <x v="2"/>
    <x v="4"/>
    <n v="5"/>
  </r>
  <r>
    <s v="P1029"/>
    <x v="0"/>
    <x v="3"/>
    <x v="3"/>
    <x v="1"/>
    <n v="25"/>
    <n v="38676.85"/>
    <n v="9"/>
    <n v="70"/>
    <x v="1"/>
    <x v="3"/>
    <n v="4"/>
  </r>
  <r>
    <s v="P1030"/>
    <x v="0"/>
    <x v="3"/>
    <x v="4"/>
    <x v="2"/>
    <n v="86"/>
    <n v="35788.22"/>
    <n v="3"/>
    <n v="66"/>
    <x v="1"/>
    <x v="2"/>
    <n v="8"/>
  </r>
  <r>
    <s v="P1031"/>
    <x v="5"/>
    <x v="1"/>
    <x v="0"/>
    <x v="1"/>
    <n v="79"/>
    <n v="140415.63"/>
    <n v="16"/>
    <n v="67"/>
    <x v="2"/>
    <x v="2"/>
    <n v="8"/>
  </r>
  <r>
    <s v="P1032"/>
    <x v="2"/>
    <x v="3"/>
    <x v="3"/>
    <x v="1"/>
    <n v="51"/>
    <n v="143365.82999999999"/>
    <n v="1"/>
    <n v="58"/>
    <x v="2"/>
    <x v="1"/>
    <n v="6"/>
  </r>
  <r>
    <s v="P1033"/>
    <x v="0"/>
    <x v="1"/>
    <x v="1"/>
    <x v="1"/>
    <n v="1"/>
    <n v="101058.07"/>
    <n v="4"/>
    <n v="81"/>
    <x v="0"/>
    <x v="7"/>
    <n v="1"/>
  </r>
  <r>
    <s v="P1034"/>
    <x v="2"/>
    <x v="0"/>
    <x v="0"/>
    <x v="2"/>
    <n v="58"/>
    <n v="41426.04"/>
    <n v="6"/>
    <n v="67"/>
    <x v="1"/>
    <x v="1"/>
    <n v="6"/>
  </r>
  <r>
    <s v="P1035"/>
    <x v="2"/>
    <x v="2"/>
    <x v="1"/>
    <x v="0"/>
    <n v="15"/>
    <n v="131454.59"/>
    <n v="30"/>
    <n v="83"/>
    <x v="2"/>
    <x v="6"/>
    <n v="3"/>
  </r>
  <r>
    <s v="P1036"/>
    <x v="0"/>
    <x v="1"/>
    <x v="4"/>
    <x v="0"/>
    <n v="5"/>
    <n v="48581.36"/>
    <n v="16"/>
    <n v="40"/>
    <x v="1"/>
    <x v="7"/>
    <n v="1"/>
  </r>
  <r>
    <s v="P1037"/>
    <x v="1"/>
    <x v="0"/>
    <x v="1"/>
    <x v="0"/>
    <n v="41"/>
    <n v="143381.07"/>
    <n v="1"/>
    <n v="87"/>
    <x v="2"/>
    <x v="4"/>
    <n v="5"/>
  </r>
  <r>
    <s v="P1038"/>
    <x v="1"/>
    <x v="0"/>
    <x v="1"/>
    <x v="1"/>
    <n v="3"/>
    <n v="50045.440000000002"/>
    <n v="15"/>
    <n v="84"/>
    <x v="1"/>
    <x v="7"/>
    <n v="1"/>
  </r>
  <r>
    <s v="P1039"/>
    <x v="2"/>
    <x v="0"/>
    <x v="1"/>
    <x v="2"/>
    <n v="58"/>
    <n v="86479.95"/>
    <n v="1"/>
    <n v="75"/>
    <x v="0"/>
    <x v="1"/>
    <n v="6"/>
  </r>
  <r>
    <s v="P1040"/>
    <x v="1"/>
    <x v="3"/>
    <x v="2"/>
    <x v="1"/>
    <n v="14"/>
    <n v="9067.3799999999992"/>
    <n v="28"/>
    <n v="86"/>
    <x v="1"/>
    <x v="6"/>
    <n v="3"/>
  </r>
  <r>
    <s v="P1041"/>
    <x v="1"/>
    <x v="2"/>
    <x v="2"/>
    <x v="1"/>
    <n v="31"/>
    <n v="113414.83"/>
    <n v="8"/>
    <n v="70"/>
    <x v="2"/>
    <x v="4"/>
    <n v="5"/>
  </r>
  <r>
    <s v="P1042"/>
    <x v="4"/>
    <x v="1"/>
    <x v="0"/>
    <x v="1"/>
    <n v="85"/>
    <n v="78946.19"/>
    <n v="3"/>
    <n v="48"/>
    <x v="0"/>
    <x v="2"/>
    <n v="8"/>
  </r>
  <r>
    <s v="P1043"/>
    <x v="0"/>
    <x v="0"/>
    <x v="3"/>
    <x v="1"/>
    <n v="22"/>
    <n v="100035.91"/>
    <n v="29"/>
    <n v="70"/>
    <x v="0"/>
    <x v="3"/>
    <n v="4"/>
  </r>
  <r>
    <s v="P1044"/>
    <x v="1"/>
    <x v="2"/>
    <x v="2"/>
    <x v="1"/>
    <n v="62"/>
    <n v="149340.16"/>
    <n v="18"/>
    <n v="49"/>
    <x v="2"/>
    <x v="5"/>
    <n v="7"/>
  </r>
  <r>
    <s v="P1045"/>
    <x v="0"/>
    <x v="0"/>
    <x v="0"/>
    <x v="0"/>
    <n v="79"/>
    <n v="105328.19"/>
    <n v="26"/>
    <n v="94"/>
    <x v="2"/>
    <x v="2"/>
    <n v="8"/>
  </r>
  <r>
    <s v="P1046"/>
    <x v="0"/>
    <x v="2"/>
    <x v="0"/>
    <x v="2"/>
    <n v="19"/>
    <n v="21826.12"/>
    <n v="17"/>
    <n v="48"/>
    <x v="1"/>
    <x v="6"/>
    <n v="3"/>
  </r>
  <r>
    <s v="P1047"/>
    <x v="5"/>
    <x v="0"/>
    <x v="4"/>
    <x v="1"/>
    <n v="37"/>
    <n v="77556.53"/>
    <n v="24"/>
    <n v="87"/>
    <x v="0"/>
    <x v="4"/>
    <n v="5"/>
  </r>
  <r>
    <s v="P1048"/>
    <x v="5"/>
    <x v="2"/>
    <x v="3"/>
    <x v="1"/>
    <n v="30"/>
    <n v="53806.86"/>
    <n v="21"/>
    <n v="82"/>
    <x v="0"/>
    <x v="4"/>
    <n v="5"/>
  </r>
  <r>
    <s v="P1049"/>
    <x v="1"/>
    <x v="3"/>
    <x v="0"/>
    <x v="1"/>
    <n v="66"/>
    <n v="84096.91"/>
    <n v="18"/>
    <n v="91"/>
    <x v="0"/>
    <x v="5"/>
    <n v="7"/>
  </r>
  <r>
    <s v="P1050"/>
    <x v="0"/>
    <x v="2"/>
    <x v="0"/>
    <x v="1"/>
    <n v="22"/>
    <n v="46384.67"/>
    <n v="3"/>
    <n v="84"/>
    <x v="1"/>
    <x v="3"/>
    <n v="4"/>
  </r>
  <r>
    <s v="P1051"/>
    <x v="0"/>
    <x v="2"/>
    <x v="1"/>
    <x v="1"/>
    <n v="60"/>
    <n v="122442.43"/>
    <n v="6"/>
    <n v="94"/>
    <x v="2"/>
    <x v="5"/>
    <n v="7"/>
  </r>
  <r>
    <s v="P1052"/>
    <x v="4"/>
    <x v="1"/>
    <x v="0"/>
    <x v="2"/>
    <n v="35"/>
    <n v="73863.679999999993"/>
    <n v="17"/>
    <n v="42"/>
    <x v="0"/>
    <x v="4"/>
    <n v="5"/>
  </r>
  <r>
    <s v="P1053"/>
    <x v="2"/>
    <x v="0"/>
    <x v="2"/>
    <x v="0"/>
    <n v="21"/>
    <n v="75334.19"/>
    <n v="23"/>
    <n v="51"/>
    <x v="0"/>
    <x v="3"/>
    <n v="4"/>
  </r>
  <r>
    <s v="P1054"/>
    <x v="4"/>
    <x v="2"/>
    <x v="1"/>
    <x v="2"/>
    <n v="51"/>
    <n v="59829.99"/>
    <n v="2"/>
    <n v="40"/>
    <x v="0"/>
    <x v="1"/>
    <n v="6"/>
  </r>
  <r>
    <s v="P1055"/>
    <x v="4"/>
    <x v="2"/>
    <x v="4"/>
    <x v="0"/>
    <n v="87"/>
    <n v="5444.8"/>
    <n v="5"/>
    <n v="42"/>
    <x v="1"/>
    <x v="2"/>
    <n v="8"/>
  </r>
  <r>
    <s v="P1056"/>
    <x v="3"/>
    <x v="0"/>
    <x v="1"/>
    <x v="1"/>
    <n v="11"/>
    <n v="39022.85"/>
    <n v="8"/>
    <n v="96"/>
    <x v="1"/>
    <x v="0"/>
    <n v="2"/>
  </r>
  <r>
    <s v="P1057"/>
    <x v="1"/>
    <x v="0"/>
    <x v="0"/>
    <x v="1"/>
    <n v="7"/>
    <n v="127110.45"/>
    <n v="30"/>
    <n v="100"/>
    <x v="2"/>
    <x v="0"/>
    <n v="2"/>
  </r>
  <r>
    <s v="P1058"/>
    <x v="3"/>
    <x v="1"/>
    <x v="1"/>
    <x v="2"/>
    <n v="80"/>
    <n v="120082.46"/>
    <n v="16"/>
    <n v="93"/>
    <x v="2"/>
    <x v="2"/>
    <n v="8"/>
  </r>
  <r>
    <s v="P1059"/>
    <x v="1"/>
    <x v="2"/>
    <x v="1"/>
    <x v="1"/>
    <n v="75"/>
    <n v="79671.37"/>
    <n v="30"/>
    <n v="43"/>
    <x v="0"/>
    <x v="2"/>
    <n v="8"/>
  </r>
  <r>
    <s v="P1060"/>
    <x v="0"/>
    <x v="3"/>
    <x v="0"/>
    <x v="1"/>
    <n v="7"/>
    <n v="66277.52"/>
    <n v="26"/>
    <n v="69"/>
    <x v="0"/>
    <x v="0"/>
    <n v="2"/>
  </r>
  <r>
    <s v="P1061"/>
    <x v="2"/>
    <x v="0"/>
    <x v="4"/>
    <x v="0"/>
    <n v="14"/>
    <n v="12241.3"/>
    <n v="20"/>
    <n v="40"/>
    <x v="1"/>
    <x v="6"/>
    <n v="3"/>
  </r>
  <r>
    <s v="P1062"/>
    <x v="5"/>
    <x v="2"/>
    <x v="1"/>
    <x v="1"/>
    <n v="22"/>
    <n v="133882.43"/>
    <n v="29"/>
    <n v="63"/>
    <x v="2"/>
    <x v="3"/>
    <n v="4"/>
  </r>
  <r>
    <s v="P1063"/>
    <x v="3"/>
    <x v="3"/>
    <x v="0"/>
    <x v="2"/>
    <n v="73"/>
    <n v="148488.95000000001"/>
    <n v="22"/>
    <n v="77"/>
    <x v="2"/>
    <x v="5"/>
    <n v="7"/>
  </r>
  <r>
    <s v="P1064"/>
    <x v="4"/>
    <x v="1"/>
    <x v="0"/>
    <x v="2"/>
    <n v="5"/>
    <n v="74239.37"/>
    <n v="7"/>
    <n v="61"/>
    <x v="0"/>
    <x v="7"/>
    <n v="1"/>
  </r>
  <r>
    <s v="P1065"/>
    <x v="2"/>
    <x v="1"/>
    <x v="4"/>
    <x v="1"/>
    <n v="6"/>
    <n v="98732.94"/>
    <n v="25"/>
    <n v="45"/>
    <x v="0"/>
    <x v="0"/>
    <n v="2"/>
  </r>
  <r>
    <s v="P1066"/>
    <x v="0"/>
    <x v="0"/>
    <x v="2"/>
    <x v="0"/>
    <n v="4"/>
    <n v="66339.33"/>
    <n v="5"/>
    <n v="77"/>
    <x v="0"/>
    <x v="7"/>
    <n v="1"/>
  </r>
  <r>
    <s v="P1067"/>
    <x v="0"/>
    <x v="1"/>
    <x v="4"/>
    <x v="1"/>
    <n v="14"/>
    <n v="113363.27"/>
    <n v="9"/>
    <n v="74"/>
    <x v="2"/>
    <x v="6"/>
    <n v="3"/>
  </r>
  <r>
    <s v="P1068"/>
    <x v="0"/>
    <x v="1"/>
    <x v="4"/>
    <x v="0"/>
    <n v="11"/>
    <n v="24492.09"/>
    <n v="8"/>
    <n v="58"/>
    <x v="1"/>
    <x v="0"/>
    <n v="2"/>
  </r>
  <r>
    <s v="P1069"/>
    <x v="3"/>
    <x v="1"/>
    <x v="4"/>
    <x v="0"/>
    <n v="19"/>
    <n v="42080.85"/>
    <n v="29"/>
    <n v="65"/>
    <x v="1"/>
    <x v="6"/>
    <n v="3"/>
  </r>
  <r>
    <s v="P1070"/>
    <x v="4"/>
    <x v="1"/>
    <x v="2"/>
    <x v="2"/>
    <n v="56"/>
    <n v="147658.16"/>
    <n v="11"/>
    <n v="96"/>
    <x v="2"/>
    <x v="1"/>
    <n v="6"/>
  </r>
  <r>
    <s v="P1071"/>
    <x v="2"/>
    <x v="1"/>
    <x v="0"/>
    <x v="0"/>
    <n v="40"/>
    <n v="79386.600000000006"/>
    <n v="21"/>
    <n v="67"/>
    <x v="0"/>
    <x v="4"/>
    <n v="5"/>
  </r>
  <r>
    <s v="P1072"/>
    <x v="5"/>
    <x v="3"/>
    <x v="1"/>
    <x v="1"/>
    <n v="6"/>
    <n v="22175.37"/>
    <n v="17"/>
    <n v="82"/>
    <x v="1"/>
    <x v="0"/>
    <n v="2"/>
  </r>
  <r>
    <s v="P1073"/>
    <x v="4"/>
    <x v="2"/>
    <x v="0"/>
    <x v="2"/>
    <n v="62"/>
    <n v="16296.15"/>
    <n v="28"/>
    <n v="63"/>
    <x v="1"/>
    <x v="5"/>
    <n v="7"/>
  </r>
  <r>
    <s v="P1074"/>
    <x v="4"/>
    <x v="3"/>
    <x v="0"/>
    <x v="2"/>
    <n v="56"/>
    <n v="120488.57"/>
    <n v="30"/>
    <n v="48"/>
    <x v="2"/>
    <x v="1"/>
    <n v="6"/>
  </r>
  <r>
    <s v="P1075"/>
    <x v="2"/>
    <x v="2"/>
    <x v="0"/>
    <x v="0"/>
    <n v="8"/>
    <n v="111873.66"/>
    <n v="16"/>
    <n v="74"/>
    <x v="2"/>
    <x v="0"/>
    <n v="2"/>
  </r>
  <r>
    <s v="P1076"/>
    <x v="2"/>
    <x v="1"/>
    <x v="2"/>
    <x v="1"/>
    <n v="62"/>
    <n v="27610.65"/>
    <n v="26"/>
    <n v="72"/>
    <x v="1"/>
    <x v="5"/>
    <n v="7"/>
  </r>
  <r>
    <s v="P1077"/>
    <x v="2"/>
    <x v="3"/>
    <x v="4"/>
    <x v="2"/>
    <n v="17"/>
    <n v="142458.98000000001"/>
    <n v="6"/>
    <n v="69"/>
    <x v="2"/>
    <x v="6"/>
    <n v="3"/>
  </r>
  <r>
    <s v="P1078"/>
    <x v="2"/>
    <x v="0"/>
    <x v="2"/>
    <x v="2"/>
    <n v="7"/>
    <n v="23799.83"/>
    <n v="26"/>
    <n v="52"/>
    <x v="1"/>
    <x v="0"/>
    <n v="2"/>
  </r>
  <r>
    <s v="P1079"/>
    <x v="5"/>
    <x v="3"/>
    <x v="0"/>
    <x v="2"/>
    <n v="49"/>
    <n v="117019.47"/>
    <n v="28"/>
    <n v="63"/>
    <x v="2"/>
    <x v="1"/>
    <n v="6"/>
  </r>
  <r>
    <s v="P1080"/>
    <x v="5"/>
    <x v="0"/>
    <x v="4"/>
    <x v="2"/>
    <n v="12"/>
    <n v="69472.05"/>
    <n v="11"/>
    <n v="68"/>
    <x v="0"/>
    <x v="0"/>
    <n v="2"/>
  </r>
  <r>
    <s v="P1081"/>
    <x v="3"/>
    <x v="0"/>
    <x v="4"/>
    <x v="0"/>
    <n v="5"/>
    <n v="64103.040000000001"/>
    <n v="14"/>
    <n v="42"/>
    <x v="0"/>
    <x v="7"/>
    <n v="1"/>
  </r>
  <r>
    <s v="P1082"/>
    <x v="2"/>
    <x v="0"/>
    <x v="0"/>
    <x v="2"/>
    <n v="13"/>
    <n v="137441.75"/>
    <n v="23"/>
    <n v="74"/>
    <x v="2"/>
    <x v="6"/>
    <n v="3"/>
  </r>
  <r>
    <s v="P1083"/>
    <x v="3"/>
    <x v="0"/>
    <x v="2"/>
    <x v="0"/>
    <n v="71"/>
    <n v="11066.61"/>
    <n v="17"/>
    <n v="86"/>
    <x v="1"/>
    <x v="5"/>
    <n v="7"/>
  </r>
  <r>
    <s v="P1084"/>
    <x v="4"/>
    <x v="1"/>
    <x v="3"/>
    <x v="0"/>
    <n v="87"/>
    <n v="36726.76"/>
    <n v="4"/>
    <n v="53"/>
    <x v="1"/>
    <x v="2"/>
    <n v="8"/>
  </r>
  <r>
    <s v="P1085"/>
    <x v="1"/>
    <x v="1"/>
    <x v="1"/>
    <x v="2"/>
    <n v="40"/>
    <n v="19717.900000000001"/>
    <n v="20"/>
    <n v="63"/>
    <x v="1"/>
    <x v="4"/>
    <n v="5"/>
  </r>
  <r>
    <s v="P1086"/>
    <x v="5"/>
    <x v="1"/>
    <x v="3"/>
    <x v="2"/>
    <n v="63"/>
    <n v="82657.039999999994"/>
    <n v="4"/>
    <n v="55"/>
    <x v="0"/>
    <x v="5"/>
    <n v="7"/>
  </r>
  <r>
    <s v="P1087"/>
    <x v="1"/>
    <x v="1"/>
    <x v="1"/>
    <x v="2"/>
    <n v="1"/>
    <n v="16874.009999999998"/>
    <n v="14"/>
    <n v="76"/>
    <x v="1"/>
    <x v="7"/>
    <n v="1"/>
  </r>
  <r>
    <s v="P1088"/>
    <x v="1"/>
    <x v="3"/>
    <x v="0"/>
    <x v="1"/>
    <n v="37"/>
    <n v="8578.83"/>
    <n v="2"/>
    <n v="90"/>
    <x v="1"/>
    <x v="4"/>
    <n v="5"/>
  </r>
  <r>
    <s v="P1089"/>
    <x v="5"/>
    <x v="0"/>
    <x v="1"/>
    <x v="1"/>
    <n v="7"/>
    <n v="22311.39"/>
    <n v="14"/>
    <n v="86"/>
    <x v="1"/>
    <x v="0"/>
    <n v="2"/>
  </r>
  <r>
    <s v="P1090"/>
    <x v="3"/>
    <x v="3"/>
    <x v="0"/>
    <x v="2"/>
    <n v="46"/>
    <n v="128560.01"/>
    <n v="7"/>
    <n v="52"/>
    <x v="2"/>
    <x v="1"/>
    <n v="6"/>
  </r>
  <r>
    <s v="P1091"/>
    <x v="4"/>
    <x v="0"/>
    <x v="2"/>
    <x v="2"/>
    <n v="30"/>
    <n v="147742.63"/>
    <n v="28"/>
    <n v="62"/>
    <x v="2"/>
    <x v="4"/>
    <n v="5"/>
  </r>
  <r>
    <s v="P1092"/>
    <x v="1"/>
    <x v="0"/>
    <x v="1"/>
    <x v="2"/>
    <n v="66"/>
    <n v="54562.1"/>
    <n v="21"/>
    <n v="86"/>
    <x v="0"/>
    <x v="5"/>
    <n v="7"/>
  </r>
  <r>
    <s v="P1093"/>
    <x v="5"/>
    <x v="2"/>
    <x v="2"/>
    <x v="2"/>
    <n v="1"/>
    <n v="146289.26999999999"/>
    <n v="17"/>
    <n v="47"/>
    <x v="2"/>
    <x v="7"/>
    <n v="1"/>
  </r>
  <r>
    <s v="P1094"/>
    <x v="4"/>
    <x v="3"/>
    <x v="4"/>
    <x v="2"/>
    <n v="89"/>
    <n v="128840.81"/>
    <n v="22"/>
    <n v="81"/>
    <x v="2"/>
    <x v="2"/>
    <n v="8"/>
  </r>
  <r>
    <s v="P1095"/>
    <x v="2"/>
    <x v="1"/>
    <x v="1"/>
    <x v="2"/>
    <n v="48"/>
    <n v="19629.22"/>
    <n v="2"/>
    <n v="95"/>
    <x v="1"/>
    <x v="1"/>
    <n v="6"/>
  </r>
  <r>
    <s v="P1096"/>
    <x v="4"/>
    <x v="2"/>
    <x v="4"/>
    <x v="0"/>
    <n v="59"/>
    <n v="73629.03"/>
    <n v="10"/>
    <n v="85"/>
    <x v="0"/>
    <x v="1"/>
    <n v="6"/>
  </r>
  <r>
    <s v="P1097"/>
    <x v="3"/>
    <x v="1"/>
    <x v="4"/>
    <x v="2"/>
    <n v="54"/>
    <n v="100747.7"/>
    <n v="12"/>
    <n v="74"/>
    <x v="0"/>
    <x v="1"/>
    <n v="6"/>
  </r>
  <r>
    <s v="P1098"/>
    <x v="1"/>
    <x v="0"/>
    <x v="0"/>
    <x v="2"/>
    <n v="35"/>
    <n v="85523.17"/>
    <n v="30"/>
    <n v="90"/>
    <x v="0"/>
    <x v="4"/>
    <n v="5"/>
  </r>
  <r>
    <s v="P1099"/>
    <x v="4"/>
    <x v="1"/>
    <x v="2"/>
    <x v="2"/>
    <n v="33"/>
    <n v="79151.14"/>
    <n v="2"/>
    <n v="56"/>
    <x v="0"/>
    <x v="4"/>
    <n v="5"/>
  </r>
  <r>
    <s v="P1100"/>
    <x v="5"/>
    <x v="0"/>
    <x v="2"/>
    <x v="0"/>
    <n v="30"/>
    <n v="115395.67"/>
    <n v="11"/>
    <n v="74"/>
    <x v="2"/>
    <x v="4"/>
    <n v="5"/>
  </r>
  <r>
    <s v="P1101"/>
    <x v="2"/>
    <x v="2"/>
    <x v="0"/>
    <x v="0"/>
    <n v="60"/>
    <n v="49131.44"/>
    <n v="2"/>
    <n v="44"/>
    <x v="1"/>
    <x v="5"/>
    <n v="7"/>
  </r>
  <r>
    <s v="P1102"/>
    <x v="4"/>
    <x v="0"/>
    <x v="2"/>
    <x v="2"/>
    <n v="70"/>
    <n v="58132.5"/>
    <n v="25"/>
    <n v="43"/>
    <x v="0"/>
    <x v="5"/>
    <n v="7"/>
  </r>
  <r>
    <s v="P1103"/>
    <x v="5"/>
    <x v="3"/>
    <x v="0"/>
    <x v="0"/>
    <n v="6"/>
    <n v="77311.77"/>
    <n v="19"/>
    <n v="90"/>
    <x v="0"/>
    <x v="0"/>
    <n v="2"/>
  </r>
  <r>
    <s v="P1104"/>
    <x v="3"/>
    <x v="2"/>
    <x v="4"/>
    <x v="2"/>
    <n v="70"/>
    <n v="14270.62"/>
    <n v="24"/>
    <n v="43"/>
    <x v="1"/>
    <x v="5"/>
    <n v="7"/>
  </r>
  <r>
    <s v="P1105"/>
    <x v="1"/>
    <x v="2"/>
    <x v="3"/>
    <x v="0"/>
    <n v="52"/>
    <n v="97685.72"/>
    <n v="28"/>
    <n v="59"/>
    <x v="0"/>
    <x v="1"/>
    <n v="6"/>
  </r>
  <r>
    <s v="P1106"/>
    <x v="0"/>
    <x v="1"/>
    <x v="2"/>
    <x v="1"/>
    <n v="64"/>
    <n v="142687.47"/>
    <n v="27"/>
    <n v="80"/>
    <x v="2"/>
    <x v="5"/>
    <n v="7"/>
  </r>
  <r>
    <s v="P1107"/>
    <x v="4"/>
    <x v="2"/>
    <x v="1"/>
    <x v="2"/>
    <n v="35"/>
    <n v="36754.51"/>
    <n v="27"/>
    <n v="49"/>
    <x v="1"/>
    <x v="4"/>
    <n v="5"/>
  </r>
  <r>
    <s v="P1108"/>
    <x v="1"/>
    <x v="1"/>
    <x v="1"/>
    <x v="2"/>
    <n v="62"/>
    <n v="34938.57"/>
    <n v="8"/>
    <n v="70"/>
    <x v="1"/>
    <x v="5"/>
    <n v="7"/>
  </r>
  <r>
    <s v="P1109"/>
    <x v="2"/>
    <x v="2"/>
    <x v="0"/>
    <x v="0"/>
    <n v="22"/>
    <n v="97228.49"/>
    <n v="7"/>
    <n v="60"/>
    <x v="0"/>
    <x v="3"/>
    <n v="4"/>
  </r>
  <r>
    <s v="P1110"/>
    <x v="3"/>
    <x v="2"/>
    <x v="1"/>
    <x v="0"/>
    <n v="42"/>
    <n v="91441.1"/>
    <n v="22"/>
    <n v="84"/>
    <x v="0"/>
    <x v="4"/>
    <n v="5"/>
  </r>
  <r>
    <s v="P1111"/>
    <x v="0"/>
    <x v="3"/>
    <x v="4"/>
    <x v="0"/>
    <n v="24"/>
    <n v="139624.06"/>
    <n v="5"/>
    <n v="55"/>
    <x v="2"/>
    <x v="3"/>
    <n v="4"/>
  </r>
  <r>
    <s v="P1112"/>
    <x v="3"/>
    <x v="1"/>
    <x v="0"/>
    <x v="2"/>
    <n v="17"/>
    <n v="86650.5"/>
    <n v="3"/>
    <n v="53"/>
    <x v="0"/>
    <x v="6"/>
    <n v="3"/>
  </r>
  <r>
    <s v="P1113"/>
    <x v="4"/>
    <x v="0"/>
    <x v="1"/>
    <x v="1"/>
    <n v="75"/>
    <n v="85517.09"/>
    <n v="6"/>
    <n v="79"/>
    <x v="0"/>
    <x v="2"/>
    <n v="8"/>
  </r>
  <r>
    <s v="P1114"/>
    <x v="0"/>
    <x v="0"/>
    <x v="1"/>
    <x v="0"/>
    <n v="47"/>
    <n v="134120.62"/>
    <n v="11"/>
    <n v="92"/>
    <x v="2"/>
    <x v="1"/>
    <n v="6"/>
  </r>
  <r>
    <s v="P1115"/>
    <x v="2"/>
    <x v="3"/>
    <x v="2"/>
    <x v="2"/>
    <n v="81"/>
    <n v="22593.06"/>
    <n v="6"/>
    <n v="67"/>
    <x v="1"/>
    <x v="2"/>
    <n v="8"/>
  </r>
  <r>
    <s v="P1116"/>
    <x v="0"/>
    <x v="2"/>
    <x v="2"/>
    <x v="1"/>
    <n v="20"/>
    <n v="88741.64"/>
    <n v="26"/>
    <n v="99"/>
    <x v="0"/>
    <x v="3"/>
    <n v="4"/>
  </r>
  <r>
    <s v="P1117"/>
    <x v="0"/>
    <x v="1"/>
    <x v="1"/>
    <x v="1"/>
    <n v="14"/>
    <n v="10917.19"/>
    <n v="22"/>
    <n v="43"/>
    <x v="1"/>
    <x v="6"/>
    <n v="3"/>
  </r>
  <r>
    <s v="P1118"/>
    <x v="0"/>
    <x v="3"/>
    <x v="4"/>
    <x v="0"/>
    <n v="30"/>
    <n v="97613.71"/>
    <n v="24"/>
    <n v="72"/>
    <x v="0"/>
    <x v="4"/>
    <n v="5"/>
  </r>
  <r>
    <s v="P1119"/>
    <x v="5"/>
    <x v="3"/>
    <x v="2"/>
    <x v="0"/>
    <n v="81"/>
    <n v="135711.26999999999"/>
    <n v="14"/>
    <n v="99"/>
    <x v="2"/>
    <x v="2"/>
    <n v="8"/>
  </r>
  <r>
    <s v="P1120"/>
    <x v="1"/>
    <x v="1"/>
    <x v="2"/>
    <x v="0"/>
    <n v="48"/>
    <n v="117464.18"/>
    <n v="2"/>
    <n v="61"/>
    <x v="2"/>
    <x v="1"/>
    <n v="6"/>
  </r>
  <r>
    <s v="P1121"/>
    <x v="2"/>
    <x v="1"/>
    <x v="2"/>
    <x v="2"/>
    <n v="45"/>
    <n v="89474.55"/>
    <n v="21"/>
    <n v="64"/>
    <x v="0"/>
    <x v="1"/>
    <n v="6"/>
  </r>
  <r>
    <s v="P1122"/>
    <x v="0"/>
    <x v="3"/>
    <x v="4"/>
    <x v="2"/>
    <n v="1"/>
    <n v="105954.09"/>
    <n v="12"/>
    <n v="95"/>
    <x v="2"/>
    <x v="7"/>
    <n v="1"/>
  </r>
  <r>
    <s v="P1123"/>
    <x v="1"/>
    <x v="2"/>
    <x v="3"/>
    <x v="0"/>
    <n v="30"/>
    <n v="91267.91"/>
    <n v="17"/>
    <n v="76"/>
    <x v="0"/>
    <x v="4"/>
    <n v="5"/>
  </r>
  <r>
    <s v="P1124"/>
    <x v="5"/>
    <x v="0"/>
    <x v="3"/>
    <x v="0"/>
    <n v="3"/>
    <n v="46506.94"/>
    <n v="9"/>
    <n v="72"/>
    <x v="1"/>
    <x v="7"/>
    <n v="1"/>
  </r>
  <r>
    <s v="P1125"/>
    <x v="4"/>
    <x v="3"/>
    <x v="1"/>
    <x v="0"/>
    <n v="78"/>
    <n v="40568.300000000003"/>
    <n v="18"/>
    <n v="91"/>
    <x v="1"/>
    <x v="2"/>
    <n v="8"/>
  </r>
  <r>
    <s v="P1126"/>
    <x v="2"/>
    <x v="0"/>
    <x v="4"/>
    <x v="1"/>
    <n v="35"/>
    <n v="132265.98000000001"/>
    <n v="7"/>
    <n v="45"/>
    <x v="2"/>
    <x v="4"/>
    <n v="5"/>
  </r>
  <r>
    <s v="P1127"/>
    <x v="1"/>
    <x v="3"/>
    <x v="2"/>
    <x v="1"/>
    <n v="88"/>
    <n v="50993.47"/>
    <n v="4"/>
    <n v="82"/>
    <x v="1"/>
    <x v="2"/>
    <n v="8"/>
  </r>
  <r>
    <s v="P1128"/>
    <x v="2"/>
    <x v="3"/>
    <x v="1"/>
    <x v="1"/>
    <n v="7"/>
    <n v="135590.48000000001"/>
    <n v="6"/>
    <n v="46"/>
    <x v="2"/>
    <x v="0"/>
    <n v="2"/>
  </r>
  <r>
    <s v="P1129"/>
    <x v="1"/>
    <x v="3"/>
    <x v="4"/>
    <x v="0"/>
    <n v="73"/>
    <n v="148956.56"/>
    <n v="6"/>
    <n v="100"/>
    <x v="2"/>
    <x v="5"/>
    <n v="7"/>
  </r>
  <r>
    <s v="P1130"/>
    <x v="3"/>
    <x v="1"/>
    <x v="0"/>
    <x v="1"/>
    <n v="83"/>
    <n v="71584.960000000006"/>
    <n v="26"/>
    <n v="55"/>
    <x v="0"/>
    <x v="2"/>
    <n v="8"/>
  </r>
  <r>
    <s v="P1131"/>
    <x v="2"/>
    <x v="2"/>
    <x v="1"/>
    <x v="2"/>
    <n v="37"/>
    <n v="78613.16"/>
    <n v="20"/>
    <n v="85"/>
    <x v="0"/>
    <x v="4"/>
    <n v="5"/>
  </r>
  <r>
    <s v="P1132"/>
    <x v="2"/>
    <x v="0"/>
    <x v="2"/>
    <x v="1"/>
    <n v="53"/>
    <n v="103548.4"/>
    <n v="27"/>
    <n v="74"/>
    <x v="2"/>
    <x v="1"/>
    <n v="6"/>
  </r>
  <r>
    <s v="P1133"/>
    <x v="4"/>
    <x v="0"/>
    <x v="4"/>
    <x v="2"/>
    <n v="50"/>
    <n v="62134.18"/>
    <n v="13"/>
    <n v="40"/>
    <x v="0"/>
    <x v="1"/>
    <n v="6"/>
  </r>
  <r>
    <s v="P1134"/>
    <x v="5"/>
    <x v="3"/>
    <x v="4"/>
    <x v="1"/>
    <n v="7"/>
    <n v="59235.13"/>
    <n v="12"/>
    <n v="42"/>
    <x v="0"/>
    <x v="0"/>
    <n v="2"/>
  </r>
  <r>
    <s v="P1135"/>
    <x v="0"/>
    <x v="2"/>
    <x v="4"/>
    <x v="1"/>
    <n v="38"/>
    <n v="118022.05"/>
    <n v="17"/>
    <n v="79"/>
    <x v="2"/>
    <x v="4"/>
    <n v="5"/>
  </r>
  <r>
    <s v="P1136"/>
    <x v="3"/>
    <x v="0"/>
    <x v="3"/>
    <x v="0"/>
    <n v="49"/>
    <n v="127750.62"/>
    <n v="18"/>
    <n v="60"/>
    <x v="2"/>
    <x v="1"/>
    <n v="6"/>
  </r>
  <r>
    <s v="P1137"/>
    <x v="1"/>
    <x v="2"/>
    <x v="1"/>
    <x v="2"/>
    <n v="27"/>
    <n v="79666.86"/>
    <n v="16"/>
    <n v="85"/>
    <x v="0"/>
    <x v="3"/>
    <n v="4"/>
  </r>
  <r>
    <s v="P1138"/>
    <x v="2"/>
    <x v="3"/>
    <x v="0"/>
    <x v="0"/>
    <n v="65"/>
    <n v="120956.04"/>
    <n v="25"/>
    <n v="95"/>
    <x v="2"/>
    <x v="5"/>
    <n v="7"/>
  </r>
  <r>
    <s v="P1139"/>
    <x v="0"/>
    <x v="2"/>
    <x v="3"/>
    <x v="1"/>
    <n v="58"/>
    <n v="100338.81"/>
    <n v="7"/>
    <n v="59"/>
    <x v="0"/>
    <x v="1"/>
    <n v="6"/>
  </r>
  <r>
    <s v="P1140"/>
    <x v="4"/>
    <x v="2"/>
    <x v="0"/>
    <x v="0"/>
    <n v="22"/>
    <n v="120621.62"/>
    <n v="21"/>
    <n v="74"/>
    <x v="2"/>
    <x v="3"/>
    <n v="4"/>
  </r>
  <r>
    <s v="P1141"/>
    <x v="0"/>
    <x v="2"/>
    <x v="2"/>
    <x v="1"/>
    <n v="10"/>
    <n v="21143.75"/>
    <n v="2"/>
    <n v="42"/>
    <x v="1"/>
    <x v="0"/>
    <n v="2"/>
  </r>
  <r>
    <s v="P1142"/>
    <x v="4"/>
    <x v="2"/>
    <x v="4"/>
    <x v="2"/>
    <n v="37"/>
    <n v="58168.06"/>
    <n v="3"/>
    <n v="84"/>
    <x v="0"/>
    <x v="4"/>
    <n v="5"/>
  </r>
  <r>
    <s v="P1143"/>
    <x v="1"/>
    <x v="3"/>
    <x v="4"/>
    <x v="0"/>
    <n v="57"/>
    <n v="121600.57"/>
    <n v="19"/>
    <n v="94"/>
    <x v="2"/>
    <x v="1"/>
    <n v="6"/>
  </r>
  <r>
    <s v="P1144"/>
    <x v="3"/>
    <x v="1"/>
    <x v="3"/>
    <x v="1"/>
    <n v="26"/>
    <n v="60409.31"/>
    <n v="25"/>
    <n v="94"/>
    <x v="0"/>
    <x v="3"/>
    <n v="4"/>
  </r>
  <r>
    <s v="P1145"/>
    <x v="0"/>
    <x v="1"/>
    <x v="2"/>
    <x v="1"/>
    <n v="51"/>
    <n v="148766.01"/>
    <n v="21"/>
    <n v="76"/>
    <x v="2"/>
    <x v="1"/>
    <n v="6"/>
  </r>
  <r>
    <s v="P1146"/>
    <x v="0"/>
    <x v="2"/>
    <x v="3"/>
    <x v="1"/>
    <n v="1"/>
    <n v="46211.03"/>
    <n v="4"/>
    <n v="97"/>
    <x v="1"/>
    <x v="7"/>
    <n v="1"/>
  </r>
  <r>
    <s v="P1147"/>
    <x v="5"/>
    <x v="0"/>
    <x v="3"/>
    <x v="1"/>
    <n v="61"/>
    <n v="32781.94"/>
    <n v="1"/>
    <n v="83"/>
    <x v="1"/>
    <x v="5"/>
    <n v="7"/>
  </r>
  <r>
    <s v="P1148"/>
    <x v="5"/>
    <x v="1"/>
    <x v="1"/>
    <x v="2"/>
    <n v="34"/>
    <n v="139264.72"/>
    <n v="14"/>
    <n v="72"/>
    <x v="2"/>
    <x v="4"/>
    <n v="5"/>
  </r>
  <r>
    <s v="P1149"/>
    <x v="1"/>
    <x v="0"/>
    <x v="4"/>
    <x v="0"/>
    <n v="78"/>
    <n v="15165.98"/>
    <n v="25"/>
    <n v="86"/>
    <x v="1"/>
    <x v="2"/>
    <n v="8"/>
  </r>
  <r>
    <s v="P1150"/>
    <x v="0"/>
    <x v="2"/>
    <x v="1"/>
    <x v="1"/>
    <n v="73"/>
    <n v="133910.69"/>
    <n v="22"/>
    <n v="87"/>
    <x v="2"/>
    <x v="5"/>
    <n v="7"/>
  </r>
  <r>
    <s v="P1151"/>
    <x v="3"/>
    <x v="2"/>
    <x v="0"/>
    <x v="1"/>
    <n v="8"/>
    <n v="82835.539999999994"/>
    <n v="24"/>
    <n v="94"/>
    <x v="0"/>
    <x v="0"/>
    <n v="2"/>
  </r>
  <r>
    <s v="P1152"/>
    <x v="0"/>
    <x v="1"/>
    <x v="4"/>
    <x v="1"/>
    <n v="16"/>
    <n v="109945.06"/>
    <n v="23"/>
    <n v="76"/>
    <x v="2"/>
    <x v="6"/>
    <n v="3"/>
  </r>
  <r>
    <s v="P1153"/>
    <x v="0"/>
    <x v="1"/>
    <x v="3"/>
    <x v="2"/>
    <n v="3"/>
    <n v="40894.400000000001"/>
    <n v="20"/>
    <n v="46"/>
    <x v="1"/>
    <x v="7"/>
    <n v="1"/>
  </r>
  <r>
    <s v="P1154"/>
    <x v="0"/>
    <x v="1"/>
    <x v="3"/>
    <x v="2"/>
    <n v="28"/>
    <n v="5522.04"/>
    <n v="20"/>
    <n v="95"/>
    <x v="1"/>
    <x v="3"/>
    <n v="4"/>
  </r>
  <r>
    <s v="P1155"/>
    <x v="2"/>
    <x v="3"/>
    <x v="3"/>
    <x v="1"/>
    <n v="38"/>
    <n v="121567.96"/>
    <n v="26"/>
    <n v="65"/>
    <x v="2"/>
    <x v="4"/>
    <n v="5"/>
  </r>
  <r>
    <s v="P1156"/>
    <x v="0"/>
    <x v="3"/>
    <x v="4"/>
    <x v="0"/>
    <n v="2"/>
    <n v="14606.74"/>
    <n v="30"/>
    <n v="75"/>
    <x v="1"/>
    <x v="7"/>
    <n v="1"/>
  </r>
  <r>
    <s v="P1157"/>
    <x v="1"/>
    <x v="2"/>
    <x v="2"/>
    <x v="1"/>
    <n v="6"/>
    <n v="116568.72"/>
    <n v="24"/>
    <n v="65"/>
    <x v="2"/>
    <x v="0"/>
    <n v="2"/>
  </r>
  <r>
    <s v="P1158"/>
    <x v="3"/>
    <x v="1"/>
    <x v="4"/>
    <x v="1"/>
    <n v="33"/>
    <n v="70189.8"/>
    <n v="14"/>
    <n v="88"/>
    <x v="0"/>
    <x v="4"/>
    <n v="5"/>
  </r>
  <r>
    <s v="P1159"/>
    <x v="5"/>
    <x v="1"/>
    <x v="3"/>
    <x v="2"/>
    <n v="28"/>
    <n v="136392.39000000001"/>
    <n v="22"/>
    <n v="77"/>
    <x v="2"/>
    <x v="3"/>
    <n v="4"/>
  </r>
  <r>
    <s v="P1160"/>
    <x v="5"/>
    <x v="3"/>
    <x v="3"/>
    <x v="2"/>
    <n v="56"/>
    <n v="139281.34"/>
    <n v="24"/>
    <n v="96"/>
    <x v="2"/>
    <x v="1"/>
    <n v="6"/>
  </r>
  <r>
    <s v="P1161"/>
    <x v="1"/>
    <x v="0"/>
    <x v="3"/>
    <x v="1"/>
    <n v="80"/>
    <n v="140818.37"/>
    <n v="9"/>
    <n v="42"/>
    <x v="2"/>
    <x v="2"/>
    <n v="8"/>
  </r>
  <r>
    <s v="P1162"/>
    <x v="4"/>
    <x v="3"/>
    <x v="1"/>
    <x v="1"/>
    <n v="74"/>
    <n v="56018.43"/>
    <n v="7"/>
    <n v="77"/>
    <x v="0"/>
    <x v="5"/>
    <n v="7"/>
  </r>
  <r>
    <s v="P1163"/>
    <x v="2"/>
    <x v="3"/>
    <x v="4"/>
    <x v="2"/>
    <n v="72"/>
    <n v="144841.74"/>
    <n v="5"/>
    <n v="57"/>
    <x v="2"/>
    <x v="5"/>
    <n v="7"/>
  </r>
  <r>
    <s v="P1164"/>
    <x v="4"/>
    <x v="0"/>
    <x v="2"/>
    <x v="1"/>
    <n v="14"/>
    <n v="123398.79"/>
    <n v="21"/>
    <n v="77"/>
    <x v="2"/>
    <x v="6"/>
    <n v="3"/>
  </r>
  <r>
    <s v="P1165"/>
    <x v="1"/>
    <x v="3"/>
    <x v="4"/>
    <x v="1"/>
    <n v="48"/>
    <n v="10911.55"/>
    <n v="19"/>
    <n v="47"/>
    <x v="1"/>
    <x v="1"/>
    <n v="6"/>
  </r>
  <r>
    <s v="P1166"/>
    <x v="5"/>
    <x v="1"/>
    <x v="4"/>
    <x v="0"/>
    <n v="87"/>
    <n v="96532.96"/>
    <n v="7"/>
    <n v="93"/>
    <x v="0"/>
    <x v="2"/>
    <n v="8"/>
  </r>
  <r>
    <s v="P1167"/>
    <x v="1"/>
    <x v="3"/>
    <x v="4"/>
    <x v="2"/>
    <n v="49"/>
    <n v="126056.09"/>
    <n v="11"/>
    <n v="78"/>
    <x v="2"/>
    <x v="1"/>
    <n v="6"/>
  </r>
  <r>
    <s v="P1168"/>
    <x v="5"/>
    <x v="3"/>
    <x v="4"/>
    <x v="2"/>
    <n v="42"/>
    <n v="92788.13"/>
    <n v="4"/>
    <n v="41"/>
    <x v="0"/>
    <x v="4"/>
    <n v="5"/>
  </r>
  <r>
    <s v="P1169"/>
    <x v="1"/>
    <x v="0"/>
    <x v="3"/>
    <x v="1"/>
    <n v="36"/>
    <n v="24614.639999999999"/>
    <n v="30"/>
    <n v="57"/>
    <x v="1"/>
    <x v="4"/>
    <n v="5"/>
  </r>
  <r>
    <s v="P1170"/>
    <x v="4"/>
    <x v="0"/>
    <x v="0"/>
    <x v="2"/>
    <n v="56"/>
    <n v="36862.400000000001"/>
    <n v="28"/>
    <n v="66"/>
    <x v="1"/>
    <x v="1"/>
    <n v="6"/>
  </r>
  <r>
    <s v="P1171"/>
    <x v="0"/>
    <x v="1"/>
    <x v="0"/>
    <x v="1"/>
    <n v="39"/>
    <n v="84065.42"/>
    <n v="28"/>
    <n v="50"/>
    <x v="0"/>
    <x v="4"/>
    <n v="5"/>
  </r>
  <r>
    <s v="P1172"/>
    <x v="0"/>
    <x v="3"/>
    <x v="0"/>
    <x v="2"/>
    <n v="42"/>
    <n v="83047.11"/>
    <n v="13"/>
    <n v="50"/>
    <x v="0"/>
    <x v="4"/>
    <n v="5"/>
  </r>
  <r>
    <s v="P1173"/>
    <x v="0"/>
    <x v="0"/>
    <x v="3"/>
    <x v="2"/>
    <n v="59"/>
    <n v="96326.11"/>
    <n v="17"/>
    <n v="82"/>
    <x v="0"/>
    <x v="1"/>
    <n v="6"/>
  </r>
  <r>
    <s v="P1174"/>
    <x v="5"/>
    <x v="3"/>
    <x v="0"/>
    <x v="1"/>
    <n v="67"/>
    <n v="49487.73"/>
    <n v="27"/>
    <n v="72"/>
    <x v="1"/>
    <x v="5"/>
    <n v="7"/>
  </r>
  <r>
    <s v="P1175"/>
    <x v="0"/>
    <x v="3"/>
    <x v="1"/>
    <x v="1"/>
    <n v="11"/>
    <n v="18263.25"/>
    <n v="29"/>
    <n v="83"/>
    <x v="1"/>
    <x v="0"/>
    <n v="2"/>
  </r>
  <r>
    <s v="P1176"/>
    <x v="4"/>
    <x v="2"/>
    <x v="0"/>
    <x v="0"/>
    <n v="3"/>
    <n v="149013.84"/>
    <n v="26"/>
    <n v="93"/>
    <x v="2"/>
    <x v="7"/>
    <n v="1"/>
  </r>
  <r>
    <s v="P1177"/>
    <x v="2"/>
    <x v="1"/>
    <x v="3"/>
    <x v="2"/>
    <n v="69"/>
    <n v="46708.35"/>
    <n v="1"/>
    <n v="88"/>
    <x v="1"/>
    <x v="5"/>
    <n v="7"/>
  </r>
  <r>
    <s v="P1178"/>
    <x v="3"/>
    <x v="0"/>
    <x v="1"/>
    <x v="1"/>
    <n v="54"/>
    <n v="68133.7"/>
    <n v="9"/>
    <n v="60"/>
    <x v="0"/>
    <x v="1"/>
    <n v="6"/>
  </r>
  <r>
    <s v="P1179"/>
    <x v="5"/>
    <x v="2"/>
    <x v="0"/>
    <x v="1"/>
    <n v="82"/>
    <n v="19213.509999999998"/>
    <n v="26"/>
    <n v="96"/>
    <x v="1"/>
    <x v="2"/>
    <n v="8"/>
  </r>
  <r>
    <s v="P1180"/>
    <x v="3"/>
    <x v="3"/>
    <x v="3"/>
    <x v="1"/>
    <n v="60"/>
    <n v="22138.22"/>
    <n v="3"/>
    <n v="96"/>
    <x v="1"/>
    <x v="5"/>
    <n v="7"/>
  </r>
  <r>
    <s v="P1181"/>
    <x v="2"/>
    <x v="1"/>
    <x v="1"/>
    <x v="1"/>
    <n v="65"/>
    <n v="30460.26"/>
    <n v="21"/>
    <n v="63"/>
    <x v="1"/>
    <x v="5"/>
    <n v="7"/>
  </r>
  <r>
    <s v="P1182"/>
    <x v="1"/>
    <x v="2"/>
    <x v="2"/>
    <x v="1"/>
    <n v="5"/>
    <n v="52772.62"/>
    <n v="9"/>
    <n v="62"/>
    <x v="1"/>
    <x v="7"/>
    <n v="1"/>
  </r>
  <r>
    <s v="P1183"/>
    <x v="2"/>
    <x v="2"/>
    <x v="1"/>
    <x v="1"/>
    <n v="54"/>
    <n v="118241.71"/>
    <n v="24"/>
    <n v="81"/>
    <x v="2"/>
    <x v="1"/>
    <n v="6"/>
  </r>
  <r>
    <s v="P1184"/>
    <x v="0"/>
    <x v="1"/>
    <x v="4"/>
    <x v="1"/>
    <n v="64"/>
    <n v="19477.689999999999"/>
    <n v="6"/>
    <n v="65"/>
    <x v="1"/>
    <x v="5"/>
    <n v="7"/>
  </r>
  <r>
    <s v="P1185"/>
    <x v="5"/>
    <x v="2"/>
    <x v="2"/>
    <x v="0"/>
    <n v="77"/>
    <n v="114541.22"/>
    <n v="25"/>
    <n v="69"/>
    <x v="2"/>
    <x v="2"/>
    <n v="8"/>
  </r>
  <r>
    <s v="P1186"/>
    <x v="5"/>
    <x v="0"/>
    <x v="3"/>
    <x v="0"/>
    <n v="72"/>
    <n v="56437.97"/>
    <n v="21"/>
    <n v="78"/>
    <x v="0"/>
    <x v="5"/>
    <n v="7"/>
  </r>
  <r>
    <s v="P1187"/>
    <x v="4"/>
    <x v="1"/>
    <x v="1"/>
    <x v="1"/>
    <n v="86"/>
    <n v="53586.34"/>
    <n v="22"/>
    <n v="96"/>
    <x v="0"/>
    <x v="2"/>
    <n v="8"/>
  </r>
  <r>
    <s v="P1188"/>
    <x v="0"/>
    <x v="3"/>
    <x v="1"/>
    <x v="0"/>
    <n v="62"/>
    <n v="13836.03"/>
    <n v="15"/>
    <n v="60"/>
    <x v="1"/>
    <x v="5"/>
    <n v="7"/>
  </r>
  <r>
    <s v="P1189"/>
    <x v="1"/>
    <x v="2"/>
    <x v="2"/>
    <x v="1"/>
    <n v="38"/>
    <n v="54960.36"/>
    <n v="26"/>
    <n v="61"/>
    <x v="0"/>
    <x v="4"/>
    <n v="5"/>
  </r>
  <r>
    <s v="P1190"/>
    <x v="1"/>
    <x v="1"/>
    <x v="4"/>
    <x v="0"/>
    <n v="70"/>
    <n v="92629.07"/>
    <n v="11"/>
    <n v="96"/>
    <x v="0"/>
    <x v="5"/>
    <n v="7"/>
  </r>
  <r>
    <s v="P1191"/>
    <x v="3"/>
    <x v="3"/>
    <x v="4"/>
    <x v="2"/>
    <n v="52"/>
    <n v="69945.08"/>
    <n v="8"/>
    <n v="80"/>
    <x v="0"/>
    <x v="1"/>
    <n v="6"/>
  </r>
  <r>
    <s v="P1192"/>
    <x v="2"/>
    <x v="1"/>
    <x v="0"/>
    <x v="0"/>
    <n v="62"/>
    <n v="132120.79"/>
    <n v="25"/>
    <n v="81"/>
    <x v="2"/>
    <x v="5"/>
    <n v="7"/>
  </r>
  <r>
    <s v="P1193"/>
    <x v="2"/>
    <x v="1"/>
    <x v="3"/>
    <x v="1"/>
    <n v="22"/>
    <n v="132726.88"/>
    <n v="24"/>
    <n v="54"/>
    <x v="2"/>
    <x v="3"/>
    <n v="4"/>
  </r>
  <r>
    <s v="P1194"/>
    <x v="0"/>
    <x v="1"/>
    <x v="1"/>
    <x v="2"/>
    <n v="70"/>
    <n v="40806.769999999997"/>
    <n v="1"/>
    <n v="51"/>
    <x v="1"/>
    <x v="5"/>
    <n v="7"/>
  </r>
  <r>
    <s v="P1195"/>
    <x v="3"/>
    <x v="3"/>
    <x v="4"/>
    <x v="0"/>
    <n v="33"/>
    <n v="56926.38"/>
    <n v="11"/>
    <n v="81"/>
    <x v="0"/>
    <x v="4"/>
    <n v="5"/>
  </r>
  <r>
    <s v="P1196"/>
    <x v="2"/>
    <x v="1"/>
    <x v="4"/>
    <x v="2"/>
    <n v="1"/>
    <n v="87386.12"/>
    <n v="14"/>
    <n v="63"/>
    <x v="0"/>
    <x v="7"/>
    <n v="1"/>
  </r>
  <r>
    <s v="P1197"/>
    <x v="2"/>
    <x v="2"/>
    <x v="0"/>
    <x v="0"/>
    <n v="8"/>
    <n v="7805.22"/>
    <n v="13"/>
    <n v="91"/>
    <x v="1"/>
    <x v="0"/>
    <n v="2"/>
  </r>
  <r>
    <s v="P1198"/>
    <x v="2"/>
    <x v="0"/>
    <x v="1"/>
    <x v="1"/>
    <n v="90"/>
    <n v="64936.83"/>
    <n v="23"/>
    <n v="51"/>
    <x v="0"/>
    <x v="2"/>
    <n v="8"/>
  </r>
  <r>
    <s v="P1199"/>
    <x v="5"/>
    <x v="3"/>
    <x v="4"/>
    <x v="0"/>
    <n v="21"/>
    <n v="57025.03"/>
    <n v="18"/>
    <n v="50"/>
    <x v="0"/>
    <x v="3"/>
    <n v="4"/>
  </r>
  <r>
    <s v="P1200"/>
    <x v="5"/>
    <x v="3"/>
    <x v="2"/>
    <x v="0"/>
    <n v="39"/>
    <n v="145631.91"/>
    <n v="6"/>
    <n v="49"/>
    <x v="2"/>
    <x v="4"/>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9F784F-55D9-40A8-A824-4CCBB989080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octors">
  <location ref="G2:H8" firstHeaderRow="1" firstDataRow="1" firstDataCol="1"/>
  <pivotFields count="12">
    <pivotField showAll="0"/>
    <pivotField showAll="0">
      <items count="7">
        <item x="3"/>
        <item x="0"/>
        <item x="4"/>
        <item x="5"/>
        <item x="2"/>
        <item x="1"/>
        <item t="default"/>
      </items>
    </pivotField>
    <pivotField showAll="0">
      <items count="5">
        <item x="1"/>
        <item x="2"/>
        <item x="3"/>
        <item x="0"/>
        <item t="default"/>
      </items>
    </pivotField>
    <pivotField axis="axisRow" showAll="0" sortType="a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pivotField dataField="1" showAll="0"/>
    <pivotField showAll="0"/>
    <pivotField showAll="0"/>
    <pivotField showAll="0"/>
  </pivotFields>
  <rowFields count="1">
    <field x="3"/>
  </rowFields>
  <rowItems count="6">
    <i>
      <x v="3"/>
    </i>
    <i>
      <x v="4"/>
    </i>
    <i>
      <x/>
    </i>
    <i>
      <x v="1"/>
    </i>
    <i>
      <x v="2"/>
    </i>
    <i t="grand">
      <x/>
    </i>
  </rowItems>
  <colItems count="1">
    <i/>
  </colItems>
  <dataFields count="1">
    <dataField name="Average Recovery Score" fld="8" subtotal="average" baseField="0" baseItem="0" numFmtId="164"/>
  </dataFields>
  <formats count="3">
    <format dxfId="2">
      <pivotArea outline="0" collapsedLevelsAreSubtotals="1" fieldPosition="0"/>
    </format>
    <format dxfId="1">
      <pivotArea outline="0" collapsedLevelsAreSubtotals="1" fieldPosition="0"/>
    </format>
    <format dxfId="0">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1218D4-D30E-4E84-88B0-C58D9396A01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5:B29" firstHeaderRow="1" firstDataRow="1" firstDataCol="1"/>
  <pivotFields count="12">
    <pivotField showAll="0"/>
    <pivotField showAll="0">
      <items count="7">
        <item x="3"/>
        <item x="0"/>
        <item x="4"/>
        <item x="5"/>
        <item x="2"/>
        <item x="1"/>
        <item t="default"/>
      </items>
    </pivotField>
    <pivotField showAll="0">
      <items count="5">
        <item x="1"/>
        <item x="2"/>
        <item x="3"/>
        <item x="0"/>
        <item t="default"/>
      </items>
    </pivotField>
    <pivotField showAll="0">
      <items count="6">
        <item x="3"/>
        <item x="0"/>
        <item x="1"/>
        <item x="4"/>
        <item x="2"/>
        <item t="default"/>
      </items>
    </pivotField>
    <pivotField axis="axisRow" showAll="0">
      <items count="4">
        <item x="0"/>
        <item x="1"/>
        <item x="2"/>
        <item t="default"/>
      </items>
    </pivotField>
    <pivotField showAll="0"/>
    <pivotField showAll="0"/>
    <pivotField showAll="0"/>
    <pivotField dataField="1" showAll="0"/>
    <pivotField showAll="0"/>
    <pivotField showAll="0"/>
    <pivotField showAll="0"/>
  </pivotFields>
  <rowFields count="1">
    <field x="4"/>
  </rowFields>
  <rowItems count="4">
    <i>
      <x/>
    </i>
    <i>
      <x v="1"/>
    </i>
    <i>
      <x v="2"/>
    </i>
    <i t="grand">
      <x/>
    </i>
  </rowItems>
  <colItems count="1">
    <i/>
  </colItems>
  <dataFields count="1">
    <dataField name="Average Recovery Score" fld="8" subtotal="average" baseField="0" baseItem="0" numFmtId="164"/>
  </dataFields>
  <formats count="1">
    <format dxfId="3">
      <pivotArea outline="0" collapsedLevelsAreSubtotals="1" fieldPosition="0"/>
    </format>
  </formats>
  <chartFormats count="4">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4" count="1" selected="0">
            <x v="0"/>
          </reference>
        </references>
      </pivotArea>
    </chartFormat>
    <chartFormat chart="5" format="10">
      <pivotArea type="data" outline="0" fieldPosition="0">
        <references count="2">
          <reference field="4294967294" count="1" selected="0">
            <x v="0"/>
          </reference>
          <reference field="4" count="1" selected="0">
            <x v="1"/>
          </reference>
        </references>
      </pivotArea>
    </chartFormat>
    <chartFormat chart="5"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DFA6A5-5953-4A64-BFA9-07CBAD22811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25:E34" firstHeaderRow="1" firstDataRow="1" firstDataCol="1"/>
  <pivotFields count="12">
    <pivotField showAll="0"/>
    <pivotField showAll="0">
      <items count="7">
        <item x="3"/>
        <item x="0"/>
        <item x="4"/>
        <item x="5"/>
        <item x="2"/>
        <item x="1"/>
        <item t="default"/>
      </items>
    </pivotField>
    <pivotField showAll="0">
      <items count="5">
        <item x="1"/>
        <item x="2"/>
        <item x="3"/>
        <item x="0"/>
        <item t="default"/>
      </items>
    </pivotField>
    <pivotField showAll="0">
      <items count="6">
        <item x="3"/>
        <item x="0"/>
        <item x="1"/>
        <item x="4"/>
        <item x="2"/>
        <item t="default"/>
      </items>
    </pivotField>
    <pivotField showAll="0">
      <items count="4">
        <item x="0"/>
        <item x="1"/>
        <item x="2"/>
        <item t="default"/>
      </items>
    </pivotField>
    <pivotField showAll="0"/>
    <pivotField showAll="0"/>
    <pivotField showAll="0"/>
    <pivotField dataField="1" showAll="0"/>
    <pivotField showAll="0"/>
    <pivotField axis="axisRow" showAll="0" sortType="ascending">
      <items count="9">
        <item x="4"/>
        <item x="0"/>
        <item x="2"/>
        <item x="7"/>
        <item x="1"/>
        <item x="5"/>
        <item x="6"/>
        <item x="3"/>
        <item t="default"/>
      </items>
      <autoSortScope>
        <pivotArea dataOnly="0" outline="0" fieldPosition="0">
          <references count="1">
            <reference field="4294967294" count="1" selected="0">
              <x v="0"/>
            </reference>
          </references>
        </pivotArea>
      </autoSortScope>
    </pivotField>
    <pivotField showAll="0"/>
  </pivotFields>
  <rowFields count="1">
    <field x="10"/>
  </rowFields>
  <rowItems count="9">
    <i>
      <x v="6"/>
    </i>
    <i>
      <x v="4"/>
    </i>
    <i>
      <x/>
    </i>
    <i>
      <x v="1"/>
    </i>
    <i>
      <x v="7"/>
    </i>
    <i>
      <x v="3"/>
    </i>
    <i>
      <x v="5"/>
    </i>
    <i>
      <x v="2"/>
    </i>
    <i t="grand">
      <x/>
    </i>
  </rowItems>
  <colItems count="1">
    <i/>
  </colItems>
  <dataFields count="1">
    <dataField name="Average Recovery Score" fld="8" subtotal="average" baseField="0" baseItem="0" numFmtId="164"/>
  </dataFields>
  <formats count="3">
    <format dxfId="6">
      <pivotArea outline="0" collapsedLevelsAreSubtotals="1" fieldPosition="0"/>
    </format>
    <format dxfId="5">
      <pivotArea outline="0" collapsedLevelsAreSubtotals="1" fieldPosition="0"/>
    </format>
    <format dxfId="4">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246EFC-6672-4C83-BB68-0301B92E577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C2" firstHeaderRow="1" firstDataRow="1" firstDataCol="0"/>
  <pivotFields count="12">
    <pivotField showAll="0"/>
    <pivotField showAll="0">
      <items count="7">
        <item x="3"/>
        <item x="0"/>
        <item x="4"/>
        <item x="5"/>
        <item x="2"/>
        <item x="1"/>
        <item t="default"/>
      </items>
    </pivotField>
    <pivotField showAll="0">
      <items count="5">
        <item x="1"/>
        <item x="2"/>
        <item x="3"/>
        <item x="0"/>
        <item t="default"/>
      </items>
    </pivotField>
    <pivotField showAll="0">
      <items count="6">
        <item x="3"/>
        <item x="0"/>
        <item x="1"/>
        <item x="4"/>
        <item x="2"/>
        <item t="default"/>
      </items>
    </pivotField>
    <pivotField showAll="0">
      <items count="4">
        <item x="0"/>
        <item x="1"/>
        <item x="2"/>
        <item t="default"/>
      </items>
    </pivotField>
    <pivotField showAll="0"/>
    <pivotField dataField="1" showAll="0"/>
    <pivotField showAll="0"/>
    <pivotField showAll="0"/>
    <pivotField showAll="0"/>
    <pivotField showAll="0"/>
    <pivotField showAll="0"/>
  </pivotFields>
  <rowItems count="1">
    <i/>
  </rowItems>
  <colItems count="1">
    <i/>
  </colItems>
  <dataFields count="1">
    <dataField name="Average Treatment Cost" fld="6" subtotal="average" baseField="0" baseItem="0" numFmtId="165"/>
  </dataFields>
  <formats count="3">
    <format dxfId="9">
      <pivotArea outline="0" collapsedLevelsAreSubtotals="1" fieldPosition="0"/>
    </format>
    <format dxfId="8">
      <pivotArea outline="0" collapsedLevelsAreSubtotals="1" fieldPosition="0"/>
    </format>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504A4B0-0AFC-4FC0-83FA-373AD405DBA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E2" firstHeaderRow="1" firstDataRow="1" firstDataCol="0"/>
  <pivotFields count="12">
    <pivotField showAll="0"/>
    <pivotField showAll="0">
      <items count="7">
        <item x="3"/>
        <item x="0"/>
        <item x="4"/>
        <item x="5"/>
        <item x="2"/>
        <item x="1"/>
        <item t="default"/>
      </items>
    </pivotField>
    <pivotField showAll="0">
      <items count="5">
        <item x="1"/>
        <item x="2"/>
        <item x="3"/>
        <item x="0"/>
        <item t="default"/>
      </items>
    </pivotField>
    <pivotField showAll="0">
      <items count="6">
        <item x="3"/>
        <item x="0"/>
        <item x="1"/>
        <item x="4"/>
        <item x="2"/>
        <item t="default"/>
      </items>
    </pivotField>
    <pivotField showAll="0">
      <items count="4">
        <item x="0"/>
        <item x="1"/>
        <item x="2"/>
        <item t="default"/>
      </items>
    </pivotField>
    <pivotField showAll="0"/>
    <pivotField showAll="0"/>
    <pivotField showAll="0"/>
    <pivotField dataField="1" showAll="0"/>
    <pivotField showAll="0"/>
    <pivotField showAll="0"/>
    <pivotField showAll="0"/>
  </pivotFields>
  <rowItems count="1">
    <i/>
  </rowItems>
  <colItems count="1">
    <i/>
  </colItems>
  <dataFields count="1">
    <dataField name="Average Recovery Score" fld="8" subtotal="average" baseField="0" baseItem="0" numFmtId="164"/>
  </dataFields>
  <formats count="3">
    <format dxfId="12">
      <pivotArea outline="0" collapsedLevelsAreSubtotals="1" fieldPosition="0"/>
    </format>
    <format dxfId="11">
      <pivotArea outline="0" collapsedLevelsAreSubtotals="1" fieldPosition="0"/>
    </format>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9A87D95-698F-43CE-A719-746D757D023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B2" firstHeaderRow="1" firstDataRow="1" firstDataCol="0"/>
  <pivotFields count="12">
    <pivotField showAll="0"/>
    <pivotField showAll="0">
      <items count="7">
        <item x="3"/>
        <item x="0"/>
        <item x="4"/>
        <item x="5"/>
        <item x="2"/>
        <item x="1"/>
        <item t="default"/>
      </items>
    </pivotField>
    <pivotField showAll="0">
      <items count="5">
        <item x="1"/>
        <item x="2"/>
        <item x="3"/>
        <item x="0"/>
        <item t="default"/>
      </items>
    </pivotField>
    <pivotField showAll="0">
      <items count="6">
        <item x="3"/>
        <item x="0"/>
        <item x="1"/>
        <item x="4"/>
        <item x="2"/>
        <item t="default"/>
      </items>
    </pivotField>
    <pivotField showAll="0">
      <items count="4">
        <item x="0"/>
        <item x="1"/>
        <item x="2"/>
        <item t="default"/>
      </items>
    </pivotField>
    <pivotField dataField="1" showAll="0"/>
    <pivotField showAll="0"/>
    <pivotField showAll="0"/>
    <pivotField showAll="0"/>
    <pivotField showAll="0"/>
    <pivotField showAll="0"/>
    <pivotField showAll="0"/>
  </pivotFields>
  <rowItems count="1">
    <i/>
  </rowItems>
  <colItems count="1">
    <i/>
  </colItems>
  <dataFields count="1">
    <dataField name="Average of Age" fld="5" subtotal="average" baseField="0" baseItem="0" numFmtId="1"/>
  </dataFields>
  <formats count="3">
    <format dxfId="15">
      <pivotArea outline="0" collapsedLevelsAreSubtotals="1" fieldPosition="0"/>
    </format>
    <format dxfId="14">
      <pivotArea outline="0" collapsedLevelsAreSubtotals="1" fieldPosition="0"/>
    </format>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D32932-A325-4393-9F1F-B49D1E4572D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Department">
  <location ref="A7:D14" firstHeaderRow="0" firstDataRow="1" firstDataCol="1"/>
  <pivotFields count="12">
    <pivotField showAll="0"/>
    <pivotField axis="axisRow" showAll="0" sortType="descending">
      <items count="7">
        <item x="3"/>
        <item x="0"/>
        <item x="4"/>
        <item x="5"/>
        <item x="2"/>
        <item x="1"/>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items count="6">
        <item x="3"/>
        <item x="0"/>
        <item x="1"/>
        <item x="4"/>
        <item x="2"/>
        <item t="default"/>
      </items>
    </pivotField>
    <pivotField showAll="0">
      <items count="4">
        <item x="0"/>
        <item x="1"/>
        <item x="2"/>
        <item t="default"/>
      </items>
    </pivotField>
    <pivotField showAll="0"/>
    <pivotField showAll="0"/>
    <pivotField showAll="0"/>
    <pivotField dataField="1" showAll="0"/>
    <pivotField showAll="0"/>
    <pivotField showAll="0"/>
    <pivotField showAll="0"/>
  </pivotFields>
  <rowFields count="1">
    <field x="1"/>
  </rowFields>
  <rowItems count="7">
    <i>
      <x v="5"/>
    </i>
    <i>
      <x v="3"/>
    </i>
    <i>
      <x v="1"/>
    </i>
    <i>
      <x/>
    </i>
    <i>
      <x v="4"/>
    </i>
    <i>
      <x v="2"/>
    </i>
    <i t="grand">
      <x/>
    </i>
  </rowItems>
  <colFields count="1">
    <field x="-2"/>
  </colFields>
  <colItems count="3">
    <i>
      <x/>
    </i>
    <i i="1">
      <x v="1"/>
    </i>
    <i i="2">
      <x v="2"/>
    </i>
  </colItems>
  <dataFields count="3">
    <dataField name="Average Recovery Score" fld="8" subtotal="average" baseField="0" baseItem="0" numFmtId="164"/>
    <dataField name="Minimum Recovery Score" fld="8" subtotal="min" baseField="0" baseItem="0" numFmtId="1"/>
    <dataField name="Maximum Recovery Score" fld="8" subtotal="max" baseField="0" baseItem="0" numFmtId="1"/>
  </dataFields>
  <formats count="5">
    <format dxfId="20">
      <pivotArea outline="0" collapsedLevelsAreSubtotals="1" fieldPosition="0"/>
    </format>
    <format dxfId="19">
      <pivotArea outline="0" collapsedLevelsAreSubtotals="1" fieldPosition="0"/>
    </format>
    <format dxfId="18">
      <pivotArea outline="0" collapsedLevelsAreSubtotals="1" fieldPosition="0"/>
    </format>
    <format dxfId="17">
      <pivotArea outline="0" collapsedLevelsAreSubtotals="1" fieldPosition="0">
        <references count="1">
          <reference field="4294967294" count="1" selected="0">
            <x v="1"/>
          </reference>
        </references>
      </pivotArea>
    </format>
    <format dxfId="16">
      <pivotArea outline="0" collapsedLevelsAreSubtotals="1" fieldPosition="0">
        <references count="1">
          <reference field="4294967294" count="1" selected="0">
            <x v="2"/>
          </reference>
        </references>
      </pivotArea>
    </format>
  </formats>
  <chartFormats count="3">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43E0204-5629-41FF-A3C9-9CAE3C8903AA}"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11:H15" firstHeaderRow="1" firstDataRow="1" firstDataCol="1"/>
  <pivotFields count="12">
    <pivotField showAll="0"/>
    <pivotField showAll="0">
      <items count="7">
        <item x="3"/>
        <item x="0"/>
        <item x="4"/>
        <item x="5"/>
        <item x="2"/>
        <item x="1"/>
        <item t="default"/>
      </items>
    </pivotField>
    <pivotField showAll="0">
      <items count="5">
        <item x="1"/>
        <item x="2"/>
        <item x="3"/>
        <item x="0"/>
        <item t="default"/>
      </items>
    </pivotField>
    <pivotField showAll="0">
      <items count="6">
        <item x="3"/>
        <item x="0"/>
        <item x="1"/>
        <item x="4"/>
        <item x="2"/>
        <item t="default"/>
      </items>
    </pivotField>
    <pivotField showAll="0">
      <items count="4">
        <item x="0"/>
        <item x="1"/>
        <item x="2"/>
        <item t="default"/>
      </items>
    </pivotField>
    <pivotField showAll="0"/>
    <pivotField showAll="0"/>
    <pivotField showAll="0"/>
    <pivotField dataField="1" showAll="0"/>
    <pivotField axis="axisRow" showAll="0">
      <items count="4">
        <item x="2"/>
        <item x="1"/>
        <item x="0"/>
        <item t="default"/>
      </items>
    </pivotField>
    <pivotField showAll="0"/>
    <pivotField showAll="0"/>
  </pivotFields>
  <rowFields count="1">
    <field x="9"/>
  </rowFields>
  <rowItems count="4">
    <i>
      <x/>
    </i>
    <i>
      <x v="1"/>
    </i>
    <i>
      <x v="2"/>
    </i>
    <i t="grand">
      <x/>
    </i>
  </rowItems>
  <colItems count="1">
    <i/>
  </colItems>
  <dataFields count="1">
    <dataField name="Average Recovery Score" fld="8" subtotal="average" baseField="0" baseItem="0" numFmtId="164"/>
  </dataFields>
  <formats count="3">
    <format dxfId="23">
      <pivotArea outline="0" collapsedLevelsAreSubtotals="1" fieldPosition="0"/>
    </format>
    <format dxfId="22">
      <pivotArea outline="0" collapsedLevelsAreSubtotals="1" fieldPosition="0"/>
    </format>
    <format dxfId="2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27D95E7-3510-49D6-9FF5-915567F70A6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D2" firstHeaderRow="1" firstDataRow="1" firstDataCol="0"/>
  <pivotFields count="12">
    <pivotField showAll="0"/>
    <pivotField showAll="0">
      <items count="7">
        <item x="3"/>
        <item x="0"/>
        <item x="4"/>
        <item x="5"/>
        <item x="2"/>
        <item x="1"/>
        <item t="default"/>
      </items>
    </pivotField>
    <pivotField showAll="0">
      <items count="5">
        <item x="1"/>
        <item x="2"/>
        <item x="3"/>
        <item x="0"/>
        <item t="default"/>
      </items>
    </pivotField>
    <pivotField showAll="0">
      <items count="6">
        <item x="3"/>
        <item x="0"/>
        <item x="1"/>
        <item x="4"/>
        <item x="2"/>
        <item t="default"/>
      </items>
    </pivotField>
    <pivotField showAll="0">
      <items count="4">
        <item x="0"/>
        <item x="1"/>
        <item x="2"/>
        <item t="default"/>
      </items>
    </pivotField>
    <pivotField showAll="0"/>
    <pivotField showAll="0"/>
    <pivotField dataField="1" showAll="0"/>
    <pivotField showAll="0"/>
    <pivotField showAll="0"/>
    <pivotField showAll="0"/>
    <pivotField showAll="0"/>
  </pivotFields>
  <rowItems count="1">
    <i/>
  </rowItems>
  <colItems count="1">
    <i/>
  </colItems>
  <dataFields count="1">
    <dataField name="Average Hospital Stay (Days)" fld="7" subtotal="average" baseField="0" baseItem="0" numFmtId="1"/>
  </dataFields>
  <formats count="3">
    <format dxfId="26">
      <pivotArea outline="0" collapsedLevelsAreSubtotals="1" fieldPosition="0"/>
    </format>
    <format dxfId="25">
      <pivotArea outline="0" collapsedLevelsAreSubtotals="1" fieldPosition="0"/>
    </format>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84E86F5-02B1-47DD-8457-CFEA739F20B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2">
    <pivotField dataField="1" showAll="0"/>
    <pivotField showAll="0">
      <items count="7">
        <item x="3"/>
        <item x="0"/>
        <item x="4"/>
        <item x="5"/>
        <item x="2"/>
        <item x="1"/>
        <item t="default"/>
      </items>
    </pivotField>
    <pivotField showAll="0">
      <items count="5">
        <item x="1"/>
        <item x="2"/>
        <item x="3"/>
        <item x="0"/>
        <item t="default"/>
      </items>
    </pivotField>
    <pivotField showAll="0">
      <items count="6">
        <item x="3"/>
        <item x="0"/>
        <item x="1"/>
        <item x="4"/>
        <item x="2"/>
        <item t="default"/>
      </items>
    </pivotField>
    <pivotField showAll="0">
      <items count="4">
        <item x="0"/>
        <item x="1"/>
        <item x="2"/>
        <item t="default"/>
      </items>
    </pivotField>
    <pivotField showAll="0"/>
    <pivotField showAll="0"/>
    <pivotField showAll="0"/>
    <pivotField showAll="0"/>
    <pivotField showAll="0"/>
    <pivotField showAll="0"/>
    <pivotField showAll="0"/>
  </pivotFields>
  <rowItems count="1">
    <i/>
  </rowItems>
  <colItems count="1">
    <i/>
  </colItems>
  <dataFields count="1">
    <dataField name="Total Patients" fld="0" subtotal="count" baseField="0" baseItem="0"/>
  </dataFields>
  <formats count="2">
    <format dxfId="28">
      <pivotArea outline="0" collapsedLevelsAreSubtotals="1" fieldPosition="0"/>
    </format>
    <format dxfId="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F0E861A-1911-414A-A810-8625BC0DADD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reatment Type">
  <location ref="A17:B22" firstHeaderRow="1" firstDataRow="1" firstDataCol="1"/>
  <pivotFields count="12">
    <pivotField showAll="0"/>
    <pivotField showAll="0">
      <items count="7">
        <item x="3"/>
        <item x="0"/>
        <item x="4"/>
        <item x="5"/>
        <item x="2"/>
        <item x="1"/>
        <item t="default"/>
      </items>
    </pivotField>
    <pivotField axis="axisRow"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items count="6">
        <item x="3"/>
        <item x="0"/>
        <item x="1"/>
        <item x="4"/>
        <item x="2"/>
        <item t="default"/>
      </items>
    </pivotField>
    <pivotField showAll="0">
      <items count="4">
        <item x="0"/>
        <item x="1"/>
        <item x="2"/>
        <item t="default"/>
      </items>
    </pivotField>
    <pivotField showAll="0"/>
    <pivotField showAll="0"/>
    <pivotField showAll="0"/>
    <pivotField dataField="1" showAll="0"/>
    <pivotField showAll="0"/>
    <pivotField showAll="0"/>
    <pivotField showAll="0"/>
  </pivotFields>
  <rowFields count="1">
    <field x="2"/>
  </rowFields>
  <rowItems count="5">
    <i>
      <x v="2"/>
    </i>
    <i>
      <x v="3"/>
    </i>
    <i>
      <x v="1"/>
    </i>
    <i>
      <x/>
    </i>
    <i t="grand">
      <x/>
    </i>
  </rowItems>
  <colItems count="1">
    <i/>
  </colItems>
  <dataFields count="1">
    <dataField name="Average Recovery Score" fld="8" subtotal="average" baseField="0" baseItem="0" numFmtId="164"/>
  </dataFields>
  <formats count="3">
    <format dxfId="31">
      <pivotArea outline="0" collapsedLevelsAreSubtotals="1" fieldPosition="0"/>
    </format>
    <format dxfId="30">
      <pivotArea outline="0" collapsedLevelsAreSubtotals="1" fieldPosition="0"/>
    </format>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191E0B5-D2BE-425B-9048-F8B2C4BC9919}" sourceName="Gender">
  <pivotTables>
    <pivotTable tabId="2" name="PivotTable6"/>
    <pivotTable tabId="2" name="PivotTable1"/>
    <pivotTable tabId="2" name="PivotTable2"/>
    <pivotTable tabId="2" name="PivotTable4"/>
    <pivotTable tabId="2" name="PivotTable5"/>
    <pivotTable tabId="2" name="PivotTable3"/>
    <pivotTable tabId="2" name="PivotTable7"/>
    <pivotTable tabId="2" name="PivotTable11"/>
    <pivotTable tabId="2" name="PivotTable12"/>
    <pivotTable tabId="2" name="PivotTable13"/>
    <pivotTable tabId="2" name="PivotTable9"/>
  </pivotTables>
  <data>
    <tabular pivotCacheId="1907596736">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tor_Name" xr10:uid="{0DE8999B-CAB6-43BA-AB0A-D7BB3704972D}" sourceName="Doctor Name">
  <pivotTables>
    <pivotTable tabId="2" name="PivotTable6"/>
    <pivotTable tabId="2" name="PivotTable1"/>
    <pivotTable tabId="2" name="PivotTable2"/>
    <pivotTable tabId="2" name="PivotTable3"/>
    <pivotTable tabId="2" name="PivotTable4"/>
    <pivotTable tabId="2" name="PivotTable5"/>
    <pivotTable tabId="2" name="PivotTable7"/>
    <pivotTable tabId="2" name="PivotTable11"/>
    <pivotTable tabId="2" name="PivotTable12"/>
    <pivotTable tabId="2" name="PivotTable13"/>
    <pivotTable tabId="2" name="PivotTable9"/>
  </pivotTables>
  <data>
    <tabular pivotCacheId="1907596736">
      <items count="5">
        <i x="3"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Type" xr10:uid="{5CB41B9F-68CA-45E8-B7AB-FCCEEF77328B}" sourceName="Treatment Type">
  <pivotTables>
    <pivotTable tabId="2" name="PivotTable6"/>
    <pivotTable tabId="2" name="PivotTable1"/>
    <pivotTable tabId="2" name="PivotTable2"/>
    <pivotTable tabId="2" name="PivotTable3"/>
    <pivotTable tabId="2" name="PivotTable4"/>
    <pivotTable tabId="2" name="PivotTable5"/>
    <pivotTable tabId="2" name="PivotTable7"/>
    <pivotTable tabId="2" name="PivotTable11"/>
    <pivotTable tabId="2" name="PivotTable12"/>
    <pivotTable tabId="2" name="PivotTable13"/>
    <pivotTable tabId="2" name="PivotTable9"/>
  </pivotTables>
  <data>
    <tabular pivotCacheId="1907596736">
      <items count="4">
        <i x="1" s="1"/>
        <i x="2"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37C26B7-F0C8-47BF-AAB5-BB9B725305C3}" sourceName="Department">
  <pivotTables>
    <pivotTable tabId="2" name="PivotTable6"/>
    <pivotTable tabId="2" name="PivotTable1"/>
    <pivotTable tabId="2" name="PivotTable2"/>
    <pivotTable tabId="2" name="PivotTable3"/>
    <pivotTable tabId="2" name="PivotTable4"/>
    <pivotTable tabId="2" name="PivotTable5"/>
    <pivotTable tabId="2" name="PivotTable7"/>
    <pivotTable tabId="2" name="PivotTable11"/>
    <pivotTable tabId="2" name="PivotTable12"/>
    <pivotTable tabId="2" name="PivotTable13"/>
    <pivotTable tabId="2" name="PivotTable9"/>
  </pivotTables>
  <data>
    <tabular pivotCacheId="1907596736">
      <items count="6">
        <i x="3" s="1"/>
        <i x="0" s="1"/>
        <i x="4" s="1"/>
        <i x="5"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2F5ECB4-6AA0-40A3-B51E-07931A5AF158}" cache="Slicer_Gender" caption="Gender" columnCount="3" style="SlicerStyleDark1" rowHeight="251883"/>
  <slicer name="Doctor Name" xr10:uid="{1BD13C8F-DA9B-402A-B580-A46EAFF5A2FB}" cache="Slicer_Doctor_Name" caption="Doctor Name" startItem="1" style="SlicerStyleDark1" rowHeight="251883"/>
  <slicer name="Treatment Type" xr10:uid="{AF0C8295-A02B-43EB-B52F-180287F11378}" cache="Slicer_Treatment_Type" caption="Treatment Type" style="SlicerStyleDark1" rowHeight="251883"/>
  <slicer name="Department" xr10:uid="{AE96CACD-C53E-4C26-8BC2-B29F28AFD8DB}" cache="Slicer_Department" caption="Department" startItem="1" style="SlicerStyleDark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8381DD-959B-4052-8B52-AA7C57775710}" name="Patient_Data" displayName="Patient_Data" ref="A1:L201" totalsRowShown="0">
  <autoFilter ref="A1:L201" xr:uid="{213CF8E7-B61D-4CB9-ABFC-4B4F8043A023}"/>
  <tableColumns count="12">
    <tableColumn id="1" xr3:uid="{5AFBF327-1B92-4A89-91FA-9B899743BB51}" name="Patient ID"/>
    <tableColumn id="2" xr3:uid="{4628E8D2-C55A-4F02-91E0-FD5D927B7904}" name="Department"/>
    <tableColumn id="3" xr3:uid="{AFB2B920-726F-4A1C-AA6C-96FD6E8C6A41}" name="Treatment Type"/>
    <tableColumn id="4" xr3:uid="{B1D8EBA3-CD3D-4101-B085-38999FF384B2}" name="Doctor Name"/>
    <tableColumn id="5" xr3:uid="{BE138CE5-2FFE-4FE0-80E0-3E5F6D8FDF09}" name="Gender"/>
    <tableColumn id="6" xr3:uid="{3FDEAF39-D918-48E8-87D6-BE391B9FE041}" name="Age"/>
    <tableColumn id="7" xr3:uid="{34E2E9EC-B1A6-48FC-881C-3F41C8BA93DF}" name="Treatment Cost"/>
    <tableColumn id="8" xr3:uid="{E1B06101-D583-4E55-BCEE-A2F9898CD4FD}" name="Hospital Stay (Days)"/>
    <tableColumn id="9" xr3:uid="{C08075D5-7E20-408E-B067-977462F0CC48}" name="Recovery Score"/>
    <tableColumn id="10" xr3:uid="{D5217A0E-3448-4D7B-A922-D4F7DD1BEDF1}" name="Cost Category" dataDxfId="34"/>
    <tableColumn id="11" xr3:uid="{577A168A-3069-4F4A-9BCF-0126D0BF51DB}" name="Age Group" dataDxfId="33"/>
    <tableColumn id="13" xr3:uid="{2350F80D-230D-4323-B150-F068D1DB3E7C}" name="AgeGrp Code" dataDxfId="3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CF8E7-B61D-4CB9-ABFC-4B4F8043A023}">
  <dimension ref="A1:L201"/>
  <sheetViews>
    <sheetView topLeftCell="A42" workbookViewId="0">
      <selection activeCell="C4" sqref="C4"/>
    </sheetView>
  </sheetViews>
  <sheetFormatPr defaultRowHeight="14.5" x14ac:dyDescent="0.35"/>
  <cols>
    <col min="1" max="1" width="11" customWidth="1"/>
    <col min="2" max="2" width="12.81640625" customWidth="1"/>
    <col min="3" max="3" width="15.6328125" customWidth="1"/>
    <col min="4" max="4" width="13.6328125" customWidth="1"/>
    <col min="5" max="5" width="8.90625" customWidth="1"/>
    <col min="7" max="7" width="15.54296875" customWidth="1"/>
    <col min="8" max="8" width="19.54296875" customWidth="1"/>
    <col min="9" max="9" width="15.54296875" customWidth="1"/>
    <col min="10" max="10" width="14.54296875" bestFit="1" customWidth="1"/>
    <col min="11" max="11" width="12.90625" bestFit="1" customWidth="1"/>
    <col min="12" max="12" width="13.6328125" bestFit="1" customWidth="1"/>
  </cols>
  <sheetData>
    <row r="1" spans="1:12" x14ac:dyDescent="0.35">
      <c r="A1" t="s">
        <v>0</v>
      </c>
      <c r="B1" t="s">
        <v>1</v>
      </c>
      <c r="C1" t="s">
        <v>2</v>
      </c>
      <c r="D1" t="s">
        <v>3</v>
      </c>
      <c r="E1" t="s">
        <v>4</v>
      </c>
      <c r="F1" t="s">
        <v>5</v>
      </c>
      <c r="G1" t="s">
        <v>6</v>
      </c>
      <c r="H1" t="s">
        <v>7</v>
      </c>
      <c r="I1" t="s">
        <v>8</v>
      </c>
      <c r="J1" t="s">
        <v>227</v>
      </c>
      <c r="K1" t="s">
        <v>228</v>
      </c>
      <c r="L1" t="s">
        <v>229</v>
      </c>
    </row>
    <row r="2" spans="1:12" x14ac:dyDescent="0.35">
      <c r="A2" t="s">
        <v>9</v>
      </c>
      <c r="B2" t="s">
        <v>10</v>
      </c>
      <c r="C2" t="s">
        <v>11</v>
      </c>
      <c r="D2" t="s">
        <v>12</v>
      </c>
      <c r="E2" t="s">
        <v>13</v>
      </c>
      <c r="F2">
        <v>12</v>
      </c>
      <c r="G2">
        <v>68632.97</v>
      </c>
      <c r="H2">
        <v>21</v>
      </c>
      <c r="I2">
        <v>82</v>
      </c>
      <c r="J2" t="s">
        <v>230</v>
      </c>
      <c r="K2" t="s">
        <v>231</v>
      </c>
      <c r="L2">
        <v>2</v>
      </c>
    </row>
    <row r="3" spans="1:12" x14ac:dyDescent="0.35">
      <c r="A3" t="s">
        <v>14</v>
      </c>
      <c r="B3" t="s">
        <v>15</v>
      </c>
      <c r="C3" t="s">
        <v>16</v>
      </c>
      <c r="D3" t="s">
        <v>17</v>
      </c>
      <c r="E3" t="s">
        <v>18</v>
      </c>
      <c r="F3">
        <v>52</v>
      </c>
      <c r="G3">
        <v>10231.42</v>
      </c>
      <c r="H3">
        <v>20</v>
      </c>
      <c r="I3">
        <v>42</v>
      </c>
      <c r="J3" t="s">
        <v>232</v>
      </c>
      <c r="K3" t="s">
        <v>233</v>
      </c>
      <c r="L3">
        <v>6</v>
      </c>
    </row>
    <row r="4" spans="1:12" x14ac:dyDescent="0.35">
      <c r="A4" t="s">
        <v>19</v>
      </c>
      <c r="B4" t="s">
        <v>15</v>
      </c>
      <c r="C4" t="s">
        <v>11</v>
      </c>
      <c r="D4" t="s">
        <v>12</v>
      </c>
      <c r="E4" t="s">
        <v>18</v>
      </c>
      <c r="F4">
        <v>79</v>
      </c>
      <c r="G4">
        <v>10160.24</v>
      </c>
      <c r="H4">
        <v>2</v>
      </c>
      <c r="I4">
        <v>72</v>
      </c>
      <c r="J4" t="s">
        <v>232</v>
      </c>
      <c r="K4" t="s">
        <v>234</v>
      </c>
      <c r="L4">
        <v>8</v>
      </c>
    </row>
    <row r="5" spans="1:12" x14ac:dyDescent="0.35">
      <c r="A5" t="s">
        <v>20</v>
      </c>
      <c r="B5" t="s">
        <v>15</v>
      </c>
      <c r="C5" t="s">
        <v>11</v>
      </c>
      <c r="D5" t="s">
        <v>12</v>
      </c>
      <c r="E5" t="s">
        <v>13</v>
      </c>
      <c r="F5">
        <v>23</v>
      </c>
      <c r="G5">
        <v>103508.96</v>
      </c>
      <c r="H5">
        <v>20</v>
      </c>
      <c r="I5">
        <v>50</v>
      </c>
      <c r="J5" t="s">
        <v>235</v>
      </c>
      <c r="K5" t="s">
        <v>236</v>
      </c>
      <c r="L5">
        <v>4</v>
      </c>
    </row>
    <row r="6" spans="1:12" x14ac:dyDescent="0.35">
      <c r="A6" t="s">
        <v>21</v>
      </c>
      <c r="B6" t="s">
        <v>22</v>
      </c>
      <c r="C6" t="s">
        <v>16</v>
      </c>
      <c r="D6" t="s">
        <v>23</v>
      </c>
      <c r="E6" t="s">
        <v>13</v>
      </c>
      <c r="F6">
        <v>7</v>
      </c>
      <c r="G6">
        <v>143427.51999999999</v>
      </c>
      <c r="H6">
        <v>6</v>
      </c>
      <c r="I6">
        <v>43</v>
      </c>
      <c r="J6" t="s">
        <v>235</v>
      </c>
      <c r="K6" t="s">
        <v>231</v>
      </c>
      <c r="L6">
        <v>2</v>
      </c>
    </row>
    <row r="7" spans="1:12" x14ac:dyDescent="0.35">
      <c r="A7" t="s">
        <v>24</v>
      </c>
      <c r="B7" t="s">
        <v>25</v>
      </c>
      <c r="C7" t="s">
        <v>16</v>
      </c>
      <c r="D7" t="s">
        <v>26</v>
      </c>
      <c r="E7" t="s">
        <v>13</v>
      </c>
      <c r="F7">
        <v>78</v>
      </c>
      <c r="G7">
        <v>146252.19</v>
      </c>
      <c r="H7">
        <v>9</v>
      </c>
      <c r="I7">
        <v>41</v>
      </c>
      <c r="J7" t="s">
        <v>235</v>
      </c>
      <c r="K7" t="s">
        <v>234</v>
      </c>
      <c r="L7">
        <v>8</v>
      </c>
    </row>
    <row r="8" spans="1:12" x14ac:dyDescent="0.35">
      <c r="A8" t="s">
        <v>27</v>
      </c>
      <c r="B8" t="s">
        <v>25</v>
      </c>
      <c r="C8" t="s">
        <v>28</v>
      </c>
      <c r="D8" t="s">
        <v>17</v>
      </c>
      <c r="E8" t="s">
        <v>29</v>
      </c>
      <c r="F8">
        <v>30</v>
      </c>
      <c r="G8">
        <v>54393.48</v>
      </c>
      <c r="H8">
        <v>1</v>
      </c>
      <c r="I8">
        <v>42</v>
      </c>
      <c r="J8" t="s">
        <v>230</v>
      </c>
      <c r="K8" t="s">
        <v>237</v>
      </c>
      <c r="L8">
        <v>5</v>
      </c>
    </row>
    <row r="9" spans="1:12" x14ac:dyDescent="0.35">
      <c r="A9" t="s">
        <v>30</v>
      </c>
      <c r="B9" t="s">
        <v>31</v>
      </c>
      <c r="C9" t="s">
        <v>28</v>
      </c>
      <c r="D9" t="s">
        <v>32</v>
      </c>
      <c r="E9" t="s">
        <v>29</v>
      </c>
      <c r="F9">
        <v>68</v>
      </c>
      <c r="G9">
        <v>30452.22</v>
      </c>
      <c r="H9">
        <v>6</v>
      </c>
      <c r="I9">
        <v>77</v>
      </c>
      <c r="J9" t="s">
        <v>232</v>
      </c>
      <c r="K9" t="s">
        <v>238</v>
      </c>
      <c r="L9">
        <v>7</v>
      </c>
    </row>
    <row r="10" spans="1:12" x14ac:dyDescent="0.35">
      <c r="A10" t="s">
        <v>33</v>
      </c>
      <c r="B10" t="s">
        <v>10</v>
      </c>
      <c r="C10" t="s">
        <v>28</v>
      </c>
      <c r="D10" t="s">
        <v>12</v>
      </c>
      <c r="E10" t="s">
        <v>29</v>
      </c>
      <c r="F10">
        <v>41</v>
      </c>
      <c r="G10">
        <v>79517.25</v>
      </c>
      <c r="H10">
        <v>9</v>
      </c>
      <c r="I10">
        <v>62</v>
      </c>
      <c r="J10" t="s">
        <v>230</v>
      </c>
      <c r="K10" t="s">
        <v>237</v>
      </c>
      <c r="L10">
        <v>5</v>
      </c>
    </row>
    <row r="11" spans="1:12" x14ac:dyDescent="0.35">
      <c r="A11" t="s">
        <v>34</v>
      </c>
      <c r="B11" t="s">
        <v>15</v>
      </c>
      <c r="C11" t="s">
        <v>16</v>
      </c>
      <c r="D11" t="s">
        <v>23</v>
      </c>
      <c r="E11" t="s">
        <v>29</v>
      </c>
      <c r="F11">
        <v>56</v>
      </c>
      <c r="G11">
        <v>116558.38</v>
      </c>
      <c r="H11">
        <v>24</v>
      </c>
      <c r="I11">
        <v>48</v>
      </c>
      <c r="J11" t="s">
        <v>235</v>
      </c>
      <c r="K11" t="s">
        <v>233</v>
      </c>
      <c r="L11">
        <v>6</v>
      </c>
    </row>
    <row r="12" spans="1:12" x14ac:dyDescent="0.35">
      <c r="A12" t="s">
        <v>35</v>
      </c>
      <c r="B12" t="s">
        <v>36</v>
      </c>
      <c r="C12" t="s">
        <v>16</v>
      </c>
      <c r="D12" t="s">
        <v>23</v>
      </c>
      <c r="E12" t="s">
        <v>13</v>
      </c>
      <c r="F12">
        <v>24</v>
      </c>
      <c r="G12">
        <v>135883.74</v>
      </c>
      <c r="H12">
        <v>15</v>
      </c>
      <c r="I12">
        <v>54</v>
      </c>
      <c r="J12" t="s">
        <v>235</v>
      </c>
      <c r="K12" t="s">
        <v>236</v>
      </c>
      <c r="L12">
        <v>4</v>
      </c>
    </row>
    <row r="13" spans="1:12" x14ac:dyDescent="0.35">
      <c r="A13" t="s">
        <v>37</v>
      </c>
      <c r="B13" t="s">
        <v>15</v>
      </c>
      <c r="C13" t="s">
        <v>28</v>
      </c>
      <c r="D13" t="s">
        <v>17</v>
      </c>
      <c r="E13" t="s">
        <v>13</v>
      </c>
      <c r="F13">
        <v>62</v>
      </c>
      <c r="G13">
        <v>148179.98000000001</v>
      </c>
      <c r="H13">
        <v>11</v>
      </c>
      <c r="I13">
        <v>87</v>
      </c>
      <c r="J13" t="s">
        <v>235</v>
      </c>
      <c r="K13" t="s">
        <v>238</v>
      </c>
      <c r="L13">
        <v>7</v>
      </c>
    </row>
    <row r="14" spans="1:12" x14ac:dyDescent="0.35">
      <c r="A14" t="s">
        <v>38</v>
      </c>
      <c r="B14" t="s">
        <v>25</v>
      </c>
      <c r="C14" t="s">
        <v>28</v>
      </c>
      <c r="D14" t="s">
        <v>32</v>
      </c>
      <c r="E14" t="s">
        <v>13</v>
      </c>
      <c r="F14">
        <v>65</v>
      </c>
      <c r="G14">
        <v>20591.650000000001</v>
      </c>
      <c r="H14">
        <v>28</v>
      </c>
      <c r="I14">
        <v>52</v>
      </c>
      <c r="J14" t="s">
        <v>232</v>
      </c>
      <c r="K14" t="s">
        <v>238</v>
      </c>
      <c r="L14">
        <v>7</v>
      </c>
    </row>
    <row r="15" spans="1:12" x14ac:dyDescent="0.35">
      <c r="A15" t="s">
        <v>39</v>
      </c>
      <c r="B15" t="s">
        <v>10</v>
      </c>
      <c r="C15" t="s">
        <v>28</v>
      </c>
      <c r="D15" t="s">
        <v>12</v>
      </c>
      <c r="E15" t="s">
        <v>13</v>
      </c>
      <c r="F15">
        <v>13</v>
      </c>
      <c r="G15">
        <v>59149.07</v>
      </c>
      <c r="H15">
        <v>19</v>
      </c>
      <c r="I15">
        <v>86</v>
      </c>
      <c r="J15" t="s">
        <v>230</v>
      </c>
      <c r="K15" t="s">
        <v>239</v>
      </c>
      <c r="L15">
        <v>3</v>
      </c>
    </row>
    <row r="16" spans="1:12" x14ac:dyDescent="0.35">
      <c r="A16" t="s">
        <v>40</v>
      </c>
      <c r="B16" t="s">
        <v>10</v>
      </c>
      <c r="C16" t="s">
        <v>41</v>
      </c>
      <c r="D16" t="s">
        <v>26</v>
      </c>
      <c r="E16" t="s">
        <v>18</v>
      </c>
      <c r="F16">
        <v>39</v>
      </c>
      <c r="G16">
        <v>59335.72</v>
      </c>
      <c r="H16">
        <v>28</v>
      </c>
      <c r="I16">
        <v>80</v>
      </c>
      <c r="J16" t="s">
        <v>230</v>
      </c>
      <c r="K16" t="s">
        <v>237</v>
      </c>
      <c r="L16">
        <v>5</v>
      </c>
    </row>
    <row r="17" spans="1:12" x14ac:dyDescent="0.35">
      <c r="A17" t="s">
        <v>42</v>
      </c>
      <c r="B17" t="s">
        <v>22</v>
      </c>
      <c r="C17" t="s">
        <v>16</v>
      </c>
      <c r="D17" t="s">
        <v>12</v>
      </c>
      <c r="E17" t="s">
        <v>18</v>
      </c>
      <c r="F17">
        <v>85</v>
      </c>
      <c r="G17">
        <v>101936.34</v>
      </c>
      <c r="H17">
        <v>27</v>
      </c>
      <c r="I17">
        <v>99</v>
      </c>
      <c r="J17" t="s">
        <v>235</v>
      </c>
      <c r="K17" t="s">
        <v>234</v>
      </c>
      <c r="L17">
        <v>8</v>
      </c>
    </row>
    <row r="18" spans="1:12" x14ac:dyDescent="0.35">
      <c r="A18" t="s">
        <v>43</v>
      </c>
      <c r="B18" t="s">
        <v>22</v>
      </c>
      <c r="C18" t="s">
        <v>41</v>
      </c>
      <c r="D18" t="s">
        <v>12</v>
      </c>
      <c r="E18" t="s">
        <v>18</v>
      </c>
      <c r="F18">
        <v>52</v>
      </c>
      <c r="G18">
        <v>107481.12</v>
      </c>
      <c r="H18">
        <v>8</v>
      </c>
      <c r="I18">
        <v>93</v>
      </c>
      <c r="J18" t="s">
        <v>235</v>
      </c>
      <c r="K18" t="s">
        <v>233</v>
      </c>
      <c r="L18">
        <v>6</v>
      </c>
    </row>
    <row r="19" spans="1:12" x14ac:dyDescent="0.35">
      <c r="A19" t="s">
        <v>44</v>
      </c>
      <c r="B19" t="s">
        <v>36</v>
      </c>
      <c r="C19" t="s">
        <v>11</v>
      </c>
      <c r="D19" t="s">
        <v>23</v>
      </c>
      <c r="E19" t="s">
        <v>18</v>
      </c>
      <c r="F19">
        <v>25</v>
      </c>
      <c r="G19">
        <v>142574.53</v>
      </c>
      <c r="H19">
        <v>30</v>
      </c>
      <c r="I19">
        <v>99</v>
      </c>
      <c r="J19" t="s">
        <v>235</v>
      </c>
      <c r="K19" t="s">
        <v>236</v>
      </c>
      <c r="L19">
        <v>4</v>
      </c>
    </row>
    <row r="20" spans="1:12" x14ac:dyDescent="0.35">
      <c r="A20" t="s">
        <v>45</v>
      </c>
      <c r="B20" t="s">
        <v>15</v>
      </c>
      <c r="C20" t="s">
        <v>41</v>
      </c>
      <c r="D20" t="s">
        <v>23</v>
      </c>
      <c r="E20" t="s">
        <v>18</v>
      </c>
      <c r="F20">
        <v>1</v>
      </c>
      <c r="G20">
        <v>43174.44</v>
      </c>
      <c r="H20">
        <v>24</v>
      </c>
      <c r="I20">
        <v>100</v>
      </c>
      <c r="J20" t="s">
        <v>232</v>
      </c>
      <c r="K20" t="s">
        <v>240</v>
      </c>
      <c r="L20">
        <v>1</v>
      </c>
    </row>
    <row r="21" spans="1:12" x14ac:dyDescent="0.35">
      <c r="A21" t="s">
        <v>46</v>
      </c>
      <c r="B21" t="s">
        <v>31</v>
      </c>
      <c r="C21" t="s">
        <v>16</v>
      </c>
      <c r="D21" t="s">
        <v>12</v>
      </c>
      <c r="E21" t="s">
        <v>13</v>
      </c>
      <c r="F21">
        <v>3</v>
      </c>
      <c r="G21">
        <v>125171.58</v>
      </c>
      <c r="H21">
        <v>30</v>
      </c>
      <c r="I21">
        <v>89</v>
      </c>
      <c r="J21" t="s">
        <v>235</v>
      </c>
      <c r="K21" t="s">
        <v>240</v>
      </c>
      <c r="L21">
        <v>1</v>
      </c>
    </row>
    <row r="22" spans="1:12" x14ac:dyDescent="0.35">
      <c r="A22" t="s">
        <v>47</v>
      </c>
      <c r="B22" t="s">
        <v>15</v>
      </c>
      <c r="C22" t="s">
        <v>11</v>
      </c>
      <c r="D22" t="s">
        <v>26</v>
      </c>
      <c r="E22" t="s">
        <v>18</v>
      </c>
      <c r="F22">
        <v>31</v>
      </c>
      <c r="G22">
        <v>51842.34</v>
      </c>
      <c r="H22">
        <v>15</v>
      </c>
      <c r="I22">
        <v>74</v>
      </c>
      <c r="J22" t="s">
        <v>232</v>
      </c>
      <c r="K22" t="s">
        <v>237</v>
      </c>
      <c r="L22">
        <v>5</v>
      </c>
    </row>
    <row r="23" spans="1:12" x14ac:dyDescent="0.35">
      <c r="A23" t="s">
        <v>48</v>
      </c>
      <c r="B23" t="s">
        <v>36</v>
      </c>
      <c r="C23" t="s">
        <v>11</v>
      </c>
      <c r="D23" t="s">
        <v>26</v>
      </c>
      <c r="E23" t="s">
        <v>18</v>
      </c>
      <c r="F23">
        <v>66</v>
      </c>
      <c r="G23">
        <v>30547.73</v>
      </c>
      <c r="H23">
        <v>11</v>
      </c>
      <c r="I23">
        <v>47</v>
      </c>
      <c r="J23" t="s">
        <v>232</v>
      </c>
      <c r="K23" t="s">
        <v>238</v>
      </c>
      <c r="L23">
        <v>7</v>
      </c>
    </row>
    <row r="24" spans="1:12" x14ac:dyDescent="0.35">
      <c r="A24" t="s">
        <v>49</v>
      </c>
      <c r="B24" t="s">
        <v>22</v>
      </c>
      <c r="C24" t="s">
        <v>11</v>
      </c>
      <c r="D24" t="s">
        <v>32</v>
      </c>
      <c r="E24" t="s">
        <v>18</v>
      </c>
      <c r="F24">
        <v>68</v>
      </c>
      <c r="G24">
        <v>68961.679999999993</v>
      </c>
      <c r="H24">
        <v>5</v>
      </c>
      <c r="I24">
        <v>67</v>
      </c>
      <c r="J24" t="s">
        <v>230</v>
      </c>
      <c r="K24" t="s">
        <v>238</v>
      </c>
      <c r="L24">
        <v>7</v>
      </c>
    </row>
    <row r="25" spans="1:12" x14ac:dyDescent="0.35">
      <c r="A25" t="s">
        <v>50</v>
      </c>
      <c r="B25" t="s">
        <v>36</v>
      </c>
      <c r="C25" t="s">
        <v>11</v>
      </c>
      <c r="D25" t="s">
        <v>32</v>
      </c>
      <c r="E25" t="s">
        <v>29</v>
      </c>
      <c r="F25">
        <v>75</v>
      </c>
      <c r="G25">
        <v>89887.05</v>
      </c>
      <c r="H25">
        <v>28</v>
      </c>
      <c r="I25">
        <v>92</v>
      </c>
      <c r="J25" t="s">
        <v>230</v>
      </c>
      <c r="K25" t="s">
        <v>234</v>
      </c>
      <c r="L25">
        <v>8</v>
      </c>
    </row>
    <row r="26" spans="1:12" x14ac:dyDescent="0.35">
      <c r="A26" t="s">
        <v>51</v>
      </c>
      <c r="B26" t="s">
        <v>15</v>
      </c>
      <c r="C26" t="s">
        <v>16</v>
      </c>
      <c r="D26" t="s">
        <v>12</v>
      </c>
      <c r="E26" t="s">
        <v>18</v>
      </c>
      <c r="F26">
        <v>35</v>
      </c>
      <c r="G26">
        <v>54350.5</v>
      </c>
      <c r="H26">
        <v>24</v>
      </c>
      <c r="I26">
        <v>70</v>
      </c>
      <c r="J26" t="s">
        <v>230</v>
      </c>
      <c r="K26" t="s">
        <v>237</v>
      </c>
      <c r="L26">
        <v>5</v>
      </c>
    </row>
    <row r="27" spans="1:12" x14ac:dyDescent="0.35">
      <c r="A27" t="s">
        <v>52</v>
      </c>
      <c r="B27" t="s">
        <v>31</v>
      </c>
      <c r="C27" t="s">
        <v>11</v>
      </c>
      <c r="D27" t="s">
        <v>23</v>
      </c>
      <c r="E27" t="s">
        <v>18</v>
      </c>
      <c r="F27">
        <v>56</v>
      </c>
      <c r="G27">
        <v>47635.12</v>
      </c>
      <c r="H27">
        <v>3</v>
      </c>
      <c r="I27">
        <v>47</v>
      </c>
      <c r="J27" t="s">
        <v>232</v>
      </c>
      <c r="K27" t="s">
        <v>233</v>
      </c>
      <c r="L27">
        <v>6</v>
      </c>
    </row>
    <row r="28" spans="1:12" x14ac:dyDescent="0.35">
      <c r="A28" t="s">
        <v>53</v>
      </c>
      <c r="B28" t="s">
        <v>22</v>
      </c>
      <c r="C28" t="s">
        <v>41</v>
      </c>
      <c r="D28" t="s">
        <v>23</v>
      </c>
      <c r="E28" t="s">
        <v>29</v>
      </c>
      <c r="F28">
        <v>34</v>
      </c>
      <c r="G28">
        <v>136077.99</v>
      </c>
      <c r="H28">
        <v>25</v>
      </c>
      <c r="I28">
        <v>58</v>
      </c>
      <c r="J28" t="s">
        <v>235</v>
      </c>
      <c r="K28" t="s">
        <v>237</v>
      </c>
      <c r="L28">
        <v>5</v>
      </c>
    </row>
    <row r="29" spans="1:12" x14ac:dyDescent="0.35">
      <c r="A29" t="s">
        <v>54</v>
      </c>
      <c r="B29" t="s">
        <v>25</v>
      </c>
      <c r="C29" t="s">
        <v>11</v>
      </c>
      <c r="D29" t="s">
        <v>23</v>
      </c>
      <c r="E29" t="s">
        <v>18</v>
      </c>
      <c r="F29">
        <v>31</v>
      </c>
      <c r="G29">
        <v>103276.56</v>
      </c>
      <c r="H29">
        <v>30</v>
      </c>
      <c r="I29">
        <v>84</v>
      </c>
      <c r="J29" t="s">
        <v>235</v>
      </c>
      <c r="K29" t="s">
        <v>237</v>
      </c>
      <c r="L29">
        <v>5</v>
      </c>
    </row>
    <row r="30" spans="1:12" x14ac:dyDescent="0.35">
      <c r="A30" t="s">
        <v>55</v>
      </c>
      <c r="B30" t="s">
        <v>10</v>
      </c>
      <c r="C30" t="s">
        <v>41</v>
      </c>
      <c r="D30" t="s">
        <v>26</v>
      </c>
      <c r="E30" t="s">
        <v>18</v>
      </c>
      <c r="F30">
        <v>25</v>
      </c>
      <c r="G30">
        <v>38676.85</v>
      </c>
      <c r="H30">
        <v>9</v>
      </c>
      <c r="I30">
        <v>70</v>
      </c>
      <c r="J30" t="s">
        <v>232</v>
      </c>
      <c r="K30" t="s">
        <v>236</v>
      </c>
      <c r="L30">
        <v>4</v>
      </c>
    </row>
    <row r="31" spans="1:12" x14ac:dyDescent="0.35">
      <c r="A31" t="s">
        <v>56</v>
      </c>
      <c r="B31" t="s">
        <v>10</v>
      </c>
      <c r="C31" t="s">
        <v>41</v>
      </c>
      <c r="D31" t="s">
        <v>32</v>
      </c>
      <c r="E31" t="s">
        <v>29</v>
      </c>
      <c r="F31">
        <v>86</v>
      </c>
      <c r="G31">
        <v>35788.22</v>
      </c>
      <c r="H31">
        <v>3</v>
      </c>
      <c r="I31">
        <v>66</v>
      </c>
      <c r="J31" t="s">
        <v>232</v>
      </c>
      <c r="K31" t="s">
        <v>234</v>
      </c>
      <c r="L31">
        <v>8</v>
      </c>
    </row>
    <row r="32" spans="1:12" x14ac:dyDescent="0.35">
      <c r="A32" t="s">
        <v>57</v>
      </c>
      <c r="B32" t="s">
        <v>36</v>
      </c>
      <c r="C32" t="s">
        <v>16</v>
      </c>
      <c r="D32" t="s">
        <v>12</v>
      </c>
      <c r="E32" t="s">
        <v>18</v>
      </c>
      <c r="F32">
        <v>79</v>
      </c>
      <c r="G32">
        <v>140415.63</v>
      </c>
      <c r="H32">
        <v>16</v>
      </c>
      <c r="I32">
        <v>67</v>
      </c>
      <c r="J32" t="s">
        <v>235</v>
      </c>
      <c r="K32" t="s">
        <v>234</v>
      </c>
      <c r="L32">
        <v>8</v>
      </c>
    </row>
    <row r="33" spans="1:12" x14ac:dyDescent="0.35">
      <c r="A33" t="s">
        <v>58</v>
      </c>
      <c r="B33" t="s">
        <v>22</v>
      </c>
      <c r="C33" t="s">
        <v>41</v>
      </c>
      <c r="D33" t="s">
        <v>26</v>
      </c>
      <c r="E33" t="s">
        <v>18</v>
      </c>
      <c r="F33">
        <v>51</v>
      </c>
      <c r="G33">
        <v>143365.82999999999</v>
      </c>
      <c r="H33">
        <v>1</v>
      </c>
      <c r="I33">
        <v>58</v>
      </c>
      <c r="J33" t="s">
        <v>235</v>
      </c>
      <c r="K33" t="s">
        <v>233</v>
      </c>
      <c r="L33">
        <v>6</v>
      </c>
    </row>
    <row r="34" spans="1:12" x14ac:dyDescent="0.35">
      <c r="A34" t="s">
        <v>59</v>
      </c>
      <c r="B34" t="s">
        <v>10</v>
      </c>
      <c r="C34" t="s">
        <v>16</v>
      </c>
      <c r="D34" t="s">
        <v>17</v>
      </c>
      <c r="E34" t="s">
        <v>18</v>
      </c>
      <c r="F34">
        <v>1</v>
      </c>
      <c r="G34">
        <v>101058.07</v>
      </c>
      <c r="H34">
        <v>4</v>
      </c>
      <c r="I34">
        <v>81</v>
      </c>
      <c r="J34" t="s">
        <v>230</v>
      </c>
      <c r="K34" t="s">
        <v>240</v>
      </c>
      <c r="L34">
        <v>1</v>
      </c>
    </row>
    <row r="35" spans="1:12" x14ac:dyDescent="0.35">
      <c r="A35" t="s">
        <v>60</v>
      </c>
      <c r="B35" t="s">
        <v>22</v>
      </c>
      <c r="C35" t="s">
        <v>11</v>
      </c>
      <c r="D35" t="s">
        <v>12</v>
      </c>
      <c r="E35" t="s">
        <v>29</v>
      </c>
      <c r="F35">
        <v>58</v>
      </c>
      <c r="G35">
        <v>41426.04</v>
      </c>
      <c r="H35">
        <v>6</v>
      </c>
      <c r="I35">
        <v>67</v>
      </c>
      <c r="J35" t="s">
        <v>232</v>
      </c>
      <c r="K35" t="s">
        <v>233</v>
      </c>
      <c r="L35">
        <v>6</v>
      </c>
    </row>
    <row r="36" spans="1:12" x14ac:dyDescent="0.35">
      <c r="A36" t="s">
        <v>61</v>
      </c>
      <c r="B36" t="s">
        <v>22</v>
      </c>
      <c r="C36" t="s">
        <v>28</v>
      </c>
      <c r="D36" t="s">
        <v>17</v>
      </c>
      <c r="E36" t="s">
        <v>13</v>
      </c>
      <c r="F36">
        <v>15</v>
      </c>
      <c r="G36">
        <v>131454.59</v>
      </c>
      <c r="H36">
        <v>30</v>
      </c>
      <c r="I36">
        <v>83</v>
      </c>
      <c r="J36" t="s">
        <v>235</v>
      </c>
      <c r="K36" t="s">
        <v>239</v>
      </c>
      <c r="L36">
        <v>3</v>
      </c>
    </row>
    <row r="37" spans="1:12" x14ac:dyDescent="0.35">
      <c r="A37" t="s">
        <v>62</v>
      </c>
      <c r="B37" t="s">
        <v>10</v>
      </c>
      <c r="C37" t="s">
        <v>16</v>
      </c>
      <c r="D37" t="s">
        <v>32</v>
      </c>
      <c r="E37" t="s">
        <v>13</v>
      </c>
      <c r="F37">
        <v>5</v>
      </c>
      <c r="G37">
        <v>48581.36</v>
      </c>
      <c r="H37">
        <v>16</v>
      </c>
      <c r="I37">
        <v>40</v>
      </c>
      <c r="J37" t="s">
        <v>232</v>
      </c>
      <c r="K37" t="s">
        <v>240</v>
      </c>
      <c r="L37">
        <v>1</v>
      </c>
    </row>
    <row r="38" spans="1:12" x14ac:dyDescent="0.35">
      <c r="A38" t="s">
        <v>63</v>
      </c>
      <c r="B38" t="s">
        <v>15</v>
      </c>
      <c r="C38" t="s">
        <v>11</v>
      </c>
      <c r="D38" t="s">
        <v>17</v>
      </c>
      <c r="E38" t="s">
        <v>13</v>
      </c>
      <c r="F38">
        <v>41</v>
      </c>
      <c r="G38">
        <v>143381.07</v>
      </c>
      <c r="H38">
        <v>1</v>
      </c>
      <c r="I38">
        <v>87</v>
      </c>
      <c r="J38" t="s">
        <v>235</v>
      </c>
      <c r="K38" t="s">
        <v>237</v>
      </c>
      <c r="L38">
        <v>5</v>
      </c>
    </row>
    <row r="39" spans="1:12" x14ac:dyDescent="0.35">
      <c r="A39" t="s">
        <v>64</v>
      </c>
      <c r="B39" t="s">
        <v>15</v>
      </c>
      <c r="C39" t="s">
        <v>11</v>
      </c>
      <c r="D39" t="s">
        <v>17</v>
      </c>
      <c r="E39" t="s">
        <v>18</v>
      </c>
      <c r="F39">
        <v>3</v>
      </c>
      <c r="G39">
        <v>50045.440000000002</v>
      </c>
      <c r="H39">
        <v>15</v>
      </c>
      <c r="I39">
        <v>84</v>
      </c>
      <c r="J39" t="s">
        <v>232</v>
      </c>
      <c r="K39" t="s">
        <v>240</v>
      </c>
      <c r="L39">
        <v>1</v>
      </c>
    </row>
    <row r="40" spans="1:12" x14ac:dyDescent="0.35">
      <c r="A40" t="s">
        <v>65</v>
      </c>
      <c r="B40" t="s">
        <v>22</v>
      </c>
      <c r="C40" t="s">
        <v>11</v>
      </c>
      <c r="D40" t="s">
        <v>17</v>
      </c>
      <c r="E40" t="s">
        <v>29</v>
      </c>
      <c r="F40">
        <v>58</v>
      </c>
      <c r="G40">
        <v>86479.95</v>
      </c>
      <c r="H40">
        <v>1</v>
      </c>
      <c r="I40">
        <v>75</v>
      </c>
      <c r="J40" t="s">
        <v>230</v>
      </c>
      <c r="K40" t="s">
        <v>233</v>
      </c>
      <c r="L40">
        <v>6</v>
      </c>
    </row>
    <row r="41" spans="1:12" x14ac:dyDescent="0.35">
      <c r="A41" t="s">
        <v>66</v>
      </c>
      <c r="B41" t="s">
        <v>15</v>
      </c>
      <c r="C41" t="s">
        <v>41</v>
      </c>
      <c r="D41" t="s">
        <v>23</v>
      </c>
      <c r="E41" t="s">
        <v>18</v>
      </c>
      <c r="F41">
        <v>14</v>
      </c>
      <c r="G41">
        <v>9067.3799999999992</v>
      </c>
      <c r="H41">
        <v>28</v>
      </c>
      <c r="I41">
        <v>86</v>
      </c>
      <c r="J41" t="s">
        <v>232</v>
      </c>
      <c r="K41" t="s">
        <v>239</v>
      </c>
      <c r="L41">
        <v>3</v>
      </c>
    </row>
    <row r="42" spans="1:12" x14ac:dyDescent="0.35">
      <c r="A42" t="s">
        <v>67</v>
      </c>
      <c r="B42" t="s">
        <v>15</v>
      </c>
      <c r="C42" t="s">
        <v>28</v>
      </c>
      <c r="D42" t="s">
        <v>23</v>
      </c>
      <c r="E42" t="s">
        <v>18</v>
      </c>
      <c r="F42">
        <v>31</v>
      </c>
      <c r="G42">
        <v>113414.83</v>
      </c>
      <c r="H42">
        <v>8</v>
      </c>
      <c r="I42">
        <v>70</v>
      </c>
      <c r="J42" t="s">
        <v>235</v>
      </c>
      <c r="K42" t="s">
        <v>237</v>
      </c>
      <c r="L42">
        <v>5</v>
      </c>
    </row>
    <row r="43" spans="1:12" x14ac:dyDescent="0.35">
      <c r="A43" t="s">
        <v>68</v>
      </c>
      <c r="B43" t="s">
        <v>31</v>
      </c>
      <c r="C43" t="s">
        <v>16</v>
      </c>
      <c r="D43" t="s">
        <v>12</v>
      </c>
      <c r="E43" t="s">
        <v>18</v>
      </c>
      <c r="F43">
        <v>85</v>
      </c>
      <c r="G43">
        <v>78946.19</v>
      </c>
      <c r="H43">
        <v>3</v>
      </c>
      <c r="I43">
        <v>48</v>
      </c>
      <c r="J43" t="s">
        <v>230</v>
      </c>
      <c r="K43" t="s">
        <v>234</v>
      </c>
      <c r="L43">
        <v>8</v>
      </c>
    </row>
    <row r="44" spans="1:12" x14ac:dyDescent="0.35">
      <c r="A44" t="s">
        <v>69</v>
      </c>
      <c r="B44" t="s">
        <v>10</v>
      </c>
      <c r="C44" t="s">
        <v>11</v>
      </c>
      <c r="D44" t="s">
        <v>26</v>
      </c>
      <c r="E44" t="s">
        <v>18</v>
      </c>
      <c r="F44">
        <v>22</v>
      </c>
      <c r="G44">
        <v>100035.91</v>
      </c>
      <c r="H44">
        <v>29</v>
      </c>
      <c r="I44">
        <v>70</v>
      </c>
      <c r="J44" t="s">
        <v>230</v>
      </c>
      <c r="K44" t="s">
        <v>236</v>
      </c>
      <c r="L44">
        <v>4</v>
      </c>
    </row>
    <row r="45" spans="1:12" x14ac:dyDescent="0.35">
      <c r="A45" t="s">
        <v>70</v>
      </c>
      <c r="B45" t="s">
        <v>15</v>
      </c>
      <c r="C45" t="s">
        <v>28</v>
      </c>
      <c r="D45" t="s">
        <v>23</v>
      </c>
      <c r="E45" t="s">
        <v>18</v>
      </c>
      <c r="F45">
        <v>62</v>
      </c>
      <c r="G45">
        <v>149340.16</v>
      </c>
      <c r="H45">
        <v>18</v>
      </c>
      <c r="I45">
        <v>49</v>
      </c>
      <c r="J45" t="s">
        <v>235</v>
      </c>
      <c r="K45" t="s">
        <v>238</v>
      </c>
      <c r="L45">
        <v>7</v>
      </c>
    </row>
    <row r="46" spans="1:12" x14ac:dyDescent="0.35">
      <c r="A46" t="s">
        <v>71</v>
      </c>
      <c r="B46" t="s">
        <v>10</v>
      </c>
      <c r="C46" t="s">
        <v>11</v>
      </c>
      <c r="D46" t="s">
        <v>12</v>
      </c>
      <c r="E46" t="s">
        <v>13</v>
      </c>
      <c r="F46">
        <v>79</v>
      </c>
      <c r="G46">
        <v>105328.19</v>
      </c>
      <c r="H46">
        <v>26</v>
      </c>
      <c r="I46">
        <v>94</v>
      </c>
      <c r="J46" t="s">
        <v>235</v>
      </c>
      <c r="K46" t="s">
        <v>234</v>
      </c>
      <c r="L46">
        <v>8</v>
      </c>
    </row>
    <row r="47" spans="1:12" x14ac:dyDescent="0.35">
      <c r="A47" t="s">
        <v>72</v>
      </c>
      <c r="B47" t="s">
        <v>10</v>
      </c>
      <c r="C47" t="s">
        <v>28</v>
      </c>
      <c r="D47" t="s">
        <v>12</v>
      </c>
      <c r="E47" t="s">
        <v>29</v>
      </c>
      <c r="F47">
        <v>19</v>
      </c>
      <c r="G47">
        <v>21826.12</v>
      </c>
      <c r="H47">
        <v>17</v>
      </c>
      <c r="I47">
        <v>48</v>
      </c>
      <c r="J47" t="s">
        <v>232</v>
      </c>
      <c r="K47" t="s">
        <v>239</v>
      </c>
      <c r="L47">
        <v>3</v>
      </c>
    </row>
    <row r="48" spans="1:12" x14ac:dyDescent="0.35">
      <c r="A48" t="s">
        <v>73</v>
      </c>
      <c r="B48" t="s">
        <v>36</v>
      </c>
      <c r="C48" t="s">
        <v>11</v>
      </c>
      <c r="D48" t="s">
        <v>32</v>
      </c>
      <c r="E48" t="s">
        <v>18</v>
      </c>
      <c r="F48">
        <v>37</v>
      </c>
      <c r="G48">
        <v>77556.53</v>
      </c>
      <c r="H48">
        <v>24</v>
      </c>
      <c r="I48">
        <v>87</v>
      </c>
      <c r="J48" t="s">
        <v>230</v>
      </c>
      <c r="K48" t="s">
        <v>237</v>
      </c>
      <c r="L48">
        <v>5</v>
      </c>
    </row>
    <row r="49" spans="1:12" x14ac:dyDescent="0.35">
      <c r="A49" t="s">
        <v>74</v>
      </c>
      <c r="B49" t="s">
        <v>36</v>
      </c>
      <c r="C49" t="s">
        <v>28</v>
      </c>
      <c r="D49" t="s">
        <v>26</v>
      </c>
      <c r="E49" t="s">
        <v>18</v>
      </c>
      <c r="F49">
        <v>30</v>
      </c>
      <c r="G49">
        <v>53806.86</v>
      </c>
      <c r="H49">
        <v>21</v>
      </c>
      <c r="I49">
        <v>82</v>
      </c>
      <c r="J49" t="s">
        <v>230</v>
      </c>
      <c r="K49" t="s">
        <v>237</v>
      </c>
      <c r="L49">
        <v>5</v>
      </c>
    </row>
    <row r="50" spans="1:12" x14ac:dyDescent="0.35">
      <c r="A50" t="s">
        <v>75</v>
      </c>
      <c r="B50" t="s">
        <v>15</v>
      </c>
      <c r="C50" t="s">
        <v>41</v>
      </c>
      <c r="D50" t="s">
        <v>12</v>
      </c>
      <c r="E50" t="s">
        <v>18</v>
      </c>
      <c r="F50">
        <v>66</v>
      </c>
      <c r="G50">
        <v>84096.91</v>
      </c>
      <c r="H50">
        <v>18</v>
      </c>
      <c r="I50">
        <v>91</v>
      </c>
      <c r="J50" t="s">
        <v>230</v>
      </c>
      <c r="K50" t="s">
        <v>238</v>
      </c>
      <c r="L50">
        <v>7</v>
      </c>
    </row>
    <row r="51" spans="1:12" x14ac:dyDescent="0.35">
      <c r="A51" t="s">
        <v>76</v>
      </c>
      <c r="B51" t="s">
        <v>10</v>
      </c>
      <c r="C51" t="s">
        <v>28</v>
      </c>
      <c r="D51" t="s">
        <v>12</v>
      </c>
      <c r="E51" t="s">
        <v>18</v>
      </c>
      <c r="F51">
        <v>22</v>
      </c>
      <c r="G51">
        <v>46384.67</v>
      </c>
      <c r="H51">
        <v>3</v>
      </c>
      <c r="I51">
        <v>84</v>
      </c>
      <c r="J51" t="s">
        <v>232</v>
      </c>
      <c r="K51" t="s">
        <v>236</v>
      </c>
      <c r="L51">
        <v>4</v>
      </c>
    </row>
    <row r="52" spans="1:12" x14ac:dyDescent="0.35">
      <c r="A52" t="s">
        <v>77</v>
      </c>
      <c r="B52" t="s">
        <v>10</v>
      </c>
      <c r="C52" t="s">
        <v>28</v>
      </c>
      <c r="D52" t="s">
        <v>17</v>
      </c>
      <c r="E52" t="s">
        <v>18</v>
      </c>
      <c r="F52">
        <v>60</v>
      </c>
      <c r="G52">
        <v>122442.43</v>
      </c>
      <c r="H52">
        <v>6</v>
      </c>
      <c r="I52">
        <v>94</v>
      </c>
      <c r="J52" t="s">
        <v>235</v>
      </c>
      <c r="K52" t="s">
        <v>238</v>
      </c>
      <c r="L52">
        <v>7</v>
      </c>
    </row>
    <row r="53" spans="1:12" x14ac:dyDescent="0.35">
      <c r="A53" t="s">
        <v>78</v>
      </c>
      <c r="B53" t="s">
        <v>31</v>
      </c>
      <c r="C53" t="s">
        <v>16</v>
      </c>
      <c r="D53" t="s">
        <v>12</v>
      </c>
      <c r="E53" t="s">
        <v>29</v>
      </c>
      <c r="F53">
        <v>35</v>
      </c>
      <c r="G53">
        <v>73863.679999999993</v>
      </c>
      <c r="H53">
        <v>17</v>
      </c>
      <c r="I53">
        <v>42</v>
      </c>
      <c r="J53" t="s">
        <v>230</v>
      </c>
      <c r="K53" t="s">
        <v>237</v>
      </c>
      <c r="L53">
        <v>5</v>
      </c>
    </row>
    <row r="54" spans="1:12" x14ac:dyDescent="0.35">
      <c r="A54" t="s">
        <v>79</v>
      </c>
      <c r="B54" t="s">
        <v>22</v>
      </c>
      <c r="C54" t="s">
        <v>11</v>
      </c>
      <c r="D54" t="s">
        <v>23</v>
      </c>
      <c r="E54" t="s">
        <v>13</v>
      </c>
      <c r="F54">
        <v>21</v>
      </c>
      <c r="G54">
        <v>75334.19</v>
      </c>
      <c r="H54">
        <v>23</v>
      </c>
      <c r="I54">
        <v>51</v>
      </c>
      <c r="J54" t="s">
        <v>230</v>
      </c>
      <c r="K54" t="s">
        <v>236</v>
      </c>
      <c r="L54">
        <v>4</v>
      </c>
    </row>
    <row r="55" spans="1:12" x14ac:dyDescent="0.35">
      <c r="A55" t="s">
        <v>80</v>
      </c>
      <c r="B55" t="s">
        <v>31</v>
      </c>
      <c r="C55" t="s">
        <v>28</v>
      </c>
      <c r="D55" t="s">
        <v>17</v>
      </c>
      <c r="E55" t="s">
        <v>29</v>
      </c>
      <c r="F55">
        <v>51</v>
      </c>
      <c r="G55">
        <v>59829.99</v>
      </c>
      <c r="H55">
        <v>2</v>
      </c>
      <c r="I55">
        <v>40</v>
      </c>
      <c r="J55" t="s">
        <v>230</v>
      </c>
      <c r="K55" t="s">
        <v>233</v>
      </c>
      <c r="L55">
        <v>6</v>
      </c>
    </row>
    <row r="56" spans="1:12" x14ac:dyDescent="0.35">
      <c r="A56" t="s">
        <v>81</v>
      </c>
      <c r="B56" t="s">
        <v>31</v>
      </c>
      <c r="C56" t="s">
        <v>28</v>
      </c>
      <c r="D56" t="s">
        <v>32</v>
      </c>
      <c r="E56" t="s">
        <v>13</v>
      </c>
      <c r="F56">
        <v>87</v>
      </c>
      <c r="G56">
        <v>5444.8</v>
      </c>
      <c r="H56">
        <v>5</v>
      </c>
      <c r="I56">
        <v>42</v>
      </c>
      <c r="J56" t="s">
        <v>232</v>
      </c>
      <c r="K56" t="s">
        <v>234</v>
      </c>
      <c r="L56">
        <v>8</v>
      </c>
    </row>
    <row r="57" spans="1:12" x14ac:dyDescent="0.35">
      <c r="A57" t="s">
        <v>82</v>
      </c>
      <c r="B57" t="s">
        <v>25</v>
      </c>
      <c r="C57" t="s">
        <v>11</v>
      </c>
      <c r="D57" t="s">
        <v>17</v>
      </c>
      <c r="E57" t="s">
        <v>18</v>
      </c>
      <c r="F57">
        <v>11</v>
      </c>
      <c r="G57">
        <v>39022.85</v>
      </c>
      <c r="H57">
        <v>8</v>
      </c>
      <c r="I57">
        <v>96</v>
      </c>
      <c r="J57" t="s">
        <v>232</v>
      </c>
      <c r="K57" t="s">
        <v>231</v>
      </c>
      <c r="L57">
        <v>2</v>
      </c>
    </row>
    <row r="58" spans="1:12" x14ac:dyDescent="0.35">
      <c r="A58" t="s">
        <v>83</v>
      </c>
      <c r="B58" t="s">
        <v>15</v>
      </c>
      <c r="C58" t="s">
        <v>11</v>
      </c>
      <c r="D58" t="s">
        <v>12</v>
      </c>
      <c r="E58" t="s">
        <v>18</v>
      </c>
      <c r="F58">
        <v>7</v>
      </c>
      <c r="G58">
        <v>127110.45</v>
      </c>
      <c r="H58">
        <v>30</v>
      </c>
      <c r="I58">
        <v>100</v>
      </c>
      <c r="J58" t="s">
        <v>235</v>
      </c>
      <c r="K58" t="s">
        <v>231</v>
      </c>
      <c r="L58">
        <v>2</v>
      </c>
    </row>
    <row r="59" spans="1:12" x14ac:dyDescent="0.35">
      <c r="A59" t="s">
        <v>84</v>
      </c>
      <c r="B59" t="s">
        <v>25</v>
      </c>
      <c r="C59" t="s">
        <v>16</v>
      </c>
      <c r="D59" t="s">
        <v>17</v>
      </c>
      <c r="E59" t="s">
        <v>29</v>
      </c>
      <c r="F59">
        <v>80</v>
      </c>
      <c r="G59">
        <v>120082.46</v>
      </c>
      <c r="H59">
        <v>16</v>
      </c>
      <c r="I59">
        <v>93</v>
      </c>
      <c r="J59" t="s">
        <v>235</v>
      </c>
      <c r="K59" t="s">
        <v>234</v>
      </c>
      <c r="L59">
        <v>8</v>
      </c>
    </row>
    <row r="60" spans="1:12" x14ac:dyDescent="0.35">
      <c r="A60" t="s">
        <v>85</v>
      </c>
      <c r="B60" t="s">
        <v>15</v>
      </c>
      <c r="C60" t="s">
        <v>28</v>
      </c>
      <c r="D60" t="s">
        <v>17</v>
      </c>
      <c r="E60" t="s">
        <v>18</v>
      </c>
      <c r="F60">
        <v>75</v>
      </c>
      <c r="G60">
        <v>79671.37</v>
      </c>
      <c r="H60">
        <v>30</v>
      </c>
      <c r="I60">
        <v>43</v>
      </c>
      <c r="J60" t="s">
        <v>230</v>
      </c>
      <c r="K60" t="s">
        <v>234</v>
      </c>
      <c r="L60">
        <v>8</v>
      </c>
    </row>
    <row r="61" spans="1:12" x14ac:dyDescent="0.35">
      <c r="A61" t="s">
        <v>86</v>
      </c>
      <c r="B61" t="s">
        <v>10</v>
      </c>
      <c r="C61" t="s">
        <v>41</v>
      </c>
      <c r="D61" t="s">
        <v>12</v>
      </c>
      <c r="E61" t="s">
        <v>18</v>
      </c>
      <c r="F61">
        <v>7</v>
      </c>
      <c r="G61">
        <v>66277.52</v>
      </c>
      <c r="H61">
        <v>26</v>
      </c>
      <c r="I61">
        <v>69</v>
      </c>
      <c r="J61" t="s">
        <v>230</v>
      </c>
      <c r="K61" t="s">
        <v>231</v>
      </c>
      <c r="L61">
        <v>2</v>
      </c>
    </row>
    <row r="62" spans="1:12" x14ac:dyDescent="0.35">
      <c r="A62" t="s">
        <v>87</v>
      </c>
      <c r="B62" t="s">
        <v>22</v>
      </c>
      <c r="C62" t="s">
        <v>11</v>
      </c>
      <c r="D62" t="s">
        <v>32</v>
      </c>
      <c r="E62" t="s">
        <v>13</v>
      </c>
      <c r="F62">
        <v>14</v>
      </c>
      <c r="G62">
        <v>12241.3</v>
      </c>
      <c r="H62">
        <v>20</v>
      </c>
      <c r="I62">
        <v>40</v>
      </c>
      <c r="J62" t="s">
        <v>232</v>
      </c>
      <c r="K62" t="s">
        <v>239</v>
      </c>
      <c r="L62">
        <v>3</v>
      </c>
    </row>
    <row r="63" spans="1:12" x14ac:dyDescent="0.35">
      <c r="A63" t="s">
        <v>88</v>
      </c>
      <c r="B63" t="s">
        <v>36</v>
      </c>
      <c r="C63" t="s">
        <v>28</v>
      </c>
      <c r="D63" t="s">
        <v>17</v>
      </c>
      <c r="E63" t="s">
        <v>18</v>
      </c>
      <c r="F63">
        <v>22</v>
      </c>
      <c r="G63">
        <v>133882.43</v>
      </c>
      <c r="H63">
        <v>29</v>
      </c>
      <c r="I63">
        <v>63</v>
      </c>
      <c r="J63" t="s">
        <v>235</v>
      </c>
      <c r="K63" t="s">
        <v>236</v>
      </c>
      <c r="L63">
        <v>4</v>
      </c>
    </row>
    <row r="64" spans="1:12" x14ac:dyDescent="0.35">
      <c r="A64" t="s">
        <v>89</v>
      </c>
      <c r="B64" t="s">
        <v>25</v>
      </c>
      <c r="C64" t="s">
        <v>41</v>
      </c>
      <c r="D64" t="s">
        <v>12</v>
      </c>
      <c r="E64" t="s">
        <v>29</v>
      </c>
      <c r="F64">
        <v>73</v>
      </c>
      <c r="G64">
        <v>148488.95000000001</v>
      </c>
      <c r="H64">
        <v>22</v>
      </c>
      <c r="I64">
        <v>77</v>
      </c>
      <c r="J64" t="s">
        <v>235</v>
      </c>
      <c r="K64" t="s">
        <v>238</v>
      </c>
      <c r="L64">
        <v>7</v>
      </c>
    </row>
    <row r="65" spans="1:12" x14ac:dyDescent="0.35">
      <c r="A65" t="s">
        <v>90</v>
      </c>
      <c r="B65" t="s">
        <v>31</v>
      </c>
      <c r="C65" t="s">
        <v>16</v>
      </c>
      <c r="D65" t="s">
        <v>12</v>
      </c>
      <c r="E65" t="s">
        <v>29</v>
      </c>
      <c r="F65">
        <v>5</v>
      </c>
      <c r="G65">
        <v>74239.37</v>
      </c>
      <c r="H65">
        <v>7</v>
      </c>
      <c r="I65">
        <v>61</v>
      </c>
      <c r="J65" t="s">
        <v>230</v>
      </c>
      <c r="K65" t="s">
        <v>240</v>
      </c>
      <c r="L65">
        <v>1</v>
      </c>
    </row>
    <row r="66" spans="1:12" x14ac:dyDescent="0.35">
      <c r="A66" t="s">
        <v>91</v>
      </c>
      <c r="B66" t="s">
        <v>22</v>
      </c>
      <c r="C66" t="s">
        <v>16</v>
      </c>
      <c r="D66" t="s">
        <v>32</v>
      </c>
      <c r="E66" t="s">
        <v>18</v>
      </c>
      <c r="F66">
        <v>6</v>
      </c>
      <c r="G66">
        <v>98732.94</v>
      </c>
      <c r="H66">
        <v>25</v>
      </c>
      <c r="I66">
        <v>45</v>
      </c>
      <c r="J66" t="s">
        <v>230</v>
      </c>
      <c r="K66" t="s">
        <v>231</v>
      </c>
      <c r="L66">
        <v>2</v>
      </c>
    </row>
    <row r="67" spans="1:12" x14ac:dyDescent="0.35">
      <c r="A67" t="s">
        <v>92</v>
      </c>
      <c r="B67" t="s">
        <v>10</v>
      </c>
      <c r="C67" t="s">
        <v>11</v>
      </c>
      <c r="D67" t="s">
        <v>23</v>
      </c>
      <c r="E67" t="s">
        <v>13</v>
      </c>
      <c r="F67">
        <v>4</v>
      </c>
      <c r="G67">
        <v>66339.33</v>
      </c>
      <c r="H67">
        <v>5</v>
      </c>
      <c r="I67">
        <v>77</v>
      </c>
      <c r="J67" t="s">
        <v>230</v>
      </c>
      <c r="K67" t="s">
        <v>240</v>
      </c>
      <c r="L67">
        <v>1</v>
      </c>
    </row>
    <row r="68" spans="1:12" x14ac:dyDescent="0.35">
      <c r="A68" t="s">
        <v>93</v>
      </c>
      <c r="B68" t="s">
        <v>10</v>
      </c>
      <c r="C68" t="s">
        <v>16</v>
      </c>
      <c r="D68" t="s">
        <v>32</v>
      </c>
      <c r="E68" t="s">
        <v>18</v>
      </c>
      <c r="F68">
        <v>14</v>
      </c>
      <c r="G68">
        <v>113363.27</v>
      </c>
      <c r="H68">
        <v>9</v>
      </c>
      <c r="I68">
        <v>74</v>
      </c>
      <c r="J68" t="s">
        <v>235</v>
      </c>
      <c r="K68" t="s">
        <v>239</v>
      </c>
      <c r="L68">
        <v>3</v>
      </c>
    </row>
    <row r="69" spans="1:12" x14ac:dyDescent="0.35">
      <c r="A69" t="s">
        <v>94</v>
      </c>
      <c r="B69" t="s">
        <v>10</v>
      </c>
      <c r="C69" t="s">
        <v>16</v>
      </c>
      <c r="D69" t="s">
        <v>32</v>
      </c>
      <c r="E69" t="s">
        <v>13</v>
      </c>
      <c r="F69">
        <v>11</v>
      </c>
      <c r="G69">
        <v>24492.09</v>
      </c>
      <c r="H69">
        <v>8</v>
      </c>
      <c r="I69">
        <v>58</v>
      </c>
      <c r="J69" t="s">
        <v>232</v>
      </c>
      <c r="K69" t="s">
        <v>231</v>
      </c>
      <c r="L69">
        <v>2</v>
      </c>
    </row>
    <row r="70" spans="1:12" x14ac:dyDescent="0.35">
      <c r="A70" t="s">
        <v>95</v>
      </c>
      <c r="B70" t="s">
        <v>25</v>
      </c>
      <c r="C70" t="s">
        <v>16</v>
      </c>
      <c r="D70" t="s">
        <v>32</v>
      </c>
      <c r="E70" t="s">
        <v>13</v>
      </c>
      <c r="F70">
        <v>19</v>
      </c>
      <c r="G70">
        <v>42080.85</v>
      </c>
      <c r="H70">
        <v>29</v>
      </c>
      <c r="I70">
        <v>65</v>
      </c>
      <c r="J70" t="s">
        <v>232</v>
      </c>
      <c r="K70" t="s">
        <v>239</v>
      </c>
      <c r="L70">
        <v>3</v>
      </c>
    </row>
    <row r="71" spans="1:12" x14ac:dyDescent="0.35">
      <c r="A71" t="s">
        <v>96</v>
      </c>
      <c r="B71" t="s">
        <v>31</v>
      </c>
      <c r="C71" t="s">
        <v>16</v>
      </c>
      <c r="D71" t="s">
        <v>23</v>
      </c>
      <c r="E71" t="s">
        <v>29</v>
      </c>
      <c r="F71">
        <v>56</v>
      </c>
      <c r="G71">
        <v>147658.16</v>
      </c>
      <c r="H71">
        <v>11</v>
      </c>
      <c r="I71">
        <v>96</v>
      </c>
      <c r="J71" t="s">
        <v>235</v>
      </c>
      <c r="K71" t="s">
        <v>233</v>
      </c>
      <c r="L71">
        <v>6</v>
      </c>
    </row>
    <row r="72" spans="1:12" x14ac:dyDescent="0.35">
      <c r="A72" t="s">
        <v>97</v>
      </c>
      <c r="B72" t="s">
        <v>22</v>
      </c>
      <c r="C72" t="s">
        <v>16</v>
      </c>
      <c r="D72" t="s">
        <v>12</v>
      </c>
      <c r="E72" t="s">
        <v>13</v>
      </c>
      <c r="F72">
        <v>40</v>
      </c>
      <c r="G72">
        <v>79386.600000000006</v>
      </c>
      <c r="H72">
        <v>21</v>
      </c>
      <c r="I72">
        <v>67</v>
      </c>
      <c r="J72" t="s">
        <v>230</v>
      </c>
      <c r="K72" t="s">
        <v>237</v>
      </c>
      <c r="L72">
        <v>5</v>
      </c>
    </row>
    <row r="73" spans="1:12" x14ac:dyDescent="0.35">
      <c r="A73" t="s">
        <v>98</v>
      </c>
      <c r="B73" t="s">
        <v>36</v>
      </c>
      <c r="C73" t="s">
        <v>41</v>
      </c>
      <c r="D73" t="s">
        <v>17</v>
      </c>
      <c r="E73" t="s">
        <v>18</v>
      </c>
      <c r="F73">
        <v>6</v>
      </c>
      <c r="G73">
        <v>22175.37</v>
      </c>
      <c r="H73">
        <v>17</v>
      </c>
      <c r="I73">
        <v>82</v>
      </c>
      <c r="J73" t="s">
        <v>232</v>
      </c>
      <c r="K73" t="s">
        <v>231</v>
      </c>
      <c r="L73">
        <v>2</v>
      </c>
    </row>
    <row r="74" spans="1:12" x14ac:dyDescent="0.35">
      <c r="A74" t="s">
        <v>99</v>
      </c>
      <c r="B74" t="s">
        <v>31</v>
      </c>
      <c r="C74" t="s">
        <v>28</v>
      </c>
      <c r="D74" t="s">
        <v>12</v>
      </c>
      <c r="E74" t="s">
        <v>29</v>
      </c>
      <c r="F74">
        <v>62</v>
      </c>
      <c r="G74">
        <v>16296.15</v>
      </c>
      <c r="H74">
        <v>28</v>
      </c>
      <c r="I74">
        <v>63</v>
      </c>
      <c r="J74" t="s">
        <v>232</v>
      </c>
      <c r="K74" t="s">
        <v>238</v>
      </c>
      <c r="L74">
        <v>7</v>
      </c>
    </row>
    <row r="75" spans="1:12" x14ac:dyDescent="0.35">
      <c r="A75" t="s">
        <v>100</v>
      </c>
      <c r="B75" t="s">
        <v>31</v>
      </c>
      <c r="C75" t="s">
        <v>41</v>
      </c>
      <c r="D75" t="s">
        <v>12</v>
      </c>
      <c r="E75" t="s">
        <v>29</v>
      </c>
      <c r="F75">
        <v>56</v>
      </c>
      <c r="G75">
        <v>120488.57</v>
      </c>
      <c r="H75">
        <v>30</v>
      </c>
      <c r="I75">
        <v>48</v>
      </c>
      <c r="J75" t="s">
        <v>235</v>
      </c>
      <c r="K75" t="s">
        <v>233</v>
      </c>
      <c r="L75">
        <v>6</v>
      </c>
    </row>
    <row r="76" spans="1:12" x14ac:dyDescent="0.35">
      <c r="A76" t="s">
        <v>101</v>
      </c>
      <c r="B76" t="s">
        <v>22</v>
      </c>
      <c r="C76" t="s">
        <v>28</v>
      </c>
      <c r="D76" t="s">
        <v>12</v>
      </c>
      <c r="E76" t="s">
        <v>13</v>
      </c>
      <c r="F76">
        <v>8</v>
      </c>
      <c r="G76">
        <v>111873.66</v>
      </c>
      <c r="H76">
        <v>16</v>
      </c>
      <c r="I76">
        <v>74</v>
      </c>
      <c r="J76" t="s">
        <v>235</v>
      </c>
      <c r="K76" t="s">
        <v>231</v>
      </c>
      <c r="L76">
        <v>2</v>
      </c>
    </row>
    <row r="77" spans="1:12" x14ac:dyDescent="0.35">
      <c r="A77" t="s">
        <v>102</v>
      </c>
      <c r="B77" t="s">
        <v>22</v>
      </c>
      <c r="C77" t="s">
        <v>16</v>
      </c>
      <c r="D77" t="s">
        <v>23</v>
      </c>
      <c r="E77" t="s">
        <v>18</v>
      </c>
      <c r="F77">
        <v>62</v>
      </c>
      <c r="G77">
        <v>27610.65</v>
      </c>
      <c r="H77">
        <v>26</v>
      </c>
      <c r="I77">
        <v>72</v>
      </c>
      <c r="J77" t="s">
        <v>232</v>
      </c>
      <c r="K77" t="s">
        <v>238</v>
      </c>
      <c r="L77">
        <v>7</v>
      </c>
    </row>
    <row r="78" spans="1:12" x14ac:dyDescent="0.35">
      <c r="A78" t="s">
        <v>103</v>
      </c>
      <c r="B78" t="s">
        <v>22</v>
      </c>
      <c r="C78" t="s">
        <v>41</v>
      </c>
      <c r="D78" t="s">
        <v>32</v>
      </c>
      <c r="E78" t="s">
        <v>29</v>
      </c>
      <c r="F78">
        <v>17</v>
      </c>
      <c r="G78">
        <v>142458.98000000001</v>
      </c>
      <c r="H78">
        <v>6</v>
      </c>
      <c r="I78">
        <v>69</v>
      </c>
      <c r="J78" t="s">
        <v>235</v>
      </c>
      <c r="K78" t="s">
        <v>239</v>
      </c>
      <c r="L78">
        <v>3</v>
      </c>
    </row>
    <row r="79" spans="1:12" x14ac:dyDescent="0.35">
      <c r="A79" t="s">
        <v>104</v>
      </c>
      <c r="B79" t="s">
        <v>22</v>
      </c>
      <c r="C79" t="s">
        <v>11</v>
      </c>
      <c r="D79" t="s">
        <v>23</v>
      </c>
      <c r="E79" t="s">
        <v>29</v>
      </c>
      <c r="F79">
        <v>7</v>
      </c>
      <c r="G79">
        <v>23799.83</v>
      </c>
      <c r="H79">
        <v>26</v>
      </c>
      <c r="I79">
        <v>52</v>
      </c>
      <c r="J79" t="s">
        <v>232</v>
      </c>
      <c r="K79" t="s">
        <v>231</v>
      </c>
      <c r="L79">
        <v>2</v>
      </c>
    </row>
    <row r="80" spans="1:12" x14ac:dyDescent="0.35">
      <c r="A80" t="s">
        <v>105</v>
      </c>
      <c r="B80" t="s">
        <v>36</v>
      </c>
      <c r="C80" t="s">
        <v>41</v>
      </c>
      <c r="D80" t="s">
        <v>12</v>
      </c>
      <c r="E80" t="s">
        <v>29</v>
      </c>
      <c r="F80">
        <v>49</v>
      </c>
      <c r="G80">
        <v>117019.47</v>
      </c>
      <c r="H80">
        <v>28</v>
      </c>
      <c r="I80">
        <v>63</v>
      </c>
      <c r="J80" t="s">
        <v>235</v>
      </c>
      <c r="K80" t="s">
        <v>233</v>
      </c>
      <c r="L80">
        <v>6</v>
      </c>
    </row>
    <row r="81" spans="1:12" x14ac:dyDescent="0.35">
      <c r="A81" t="s">
        <v>106</v>
      </c>
      <c r="B81" t="s">
        <v>36</v>
      </c>
      <c r="C81" t="s">
        <v>11</v>
      </c>
      <c r="D81" t="s">
        <v>32</v>
      </c>
      <c r="E81" t="s">
        <v>29</v>
      </c>
      <c r="F81">
        <v>12</v>
      </c>
      <c r="G81">
        <v>69472.05</v>
      </c>
      <c r="H81">
        <v>11</v>
      </c>
      <c r="I81">
        <v>68</v>
      </c>
      <c r="J81" t="s">
        <v>230</v>
      </c>
      <c r="K81" t="s">
        <v>231</v>
      </c>
      <c r="L81">
        <v>2</v>
      </c>
    </row>
    <row r="82" spans="1:12" x14ac:dyDescent="0.35">
      <c r="A82" t="s">
        <v>107</v>
      </c>
      <c r="B82" t="s">
        <v>25</v>
      </c>
      <c r="C82" t="s">
        <v>11</v>
      </c>
      <c r="D82" t="s">
        <v>32</v>
      </c>
      <c r="E82" t="s">
        <v>13</v>
      </c>
      <c r="F82">
        <v>5</v>
      </c>
      <c r="G82">
        <v>64103.040000000001</v>
      </c>
      <c r="H82">
        <v>14</v>
      </c>
      <c r="I82">
        <v>42</v>
      </c>
      <c r="J82" t="s">
        <v>230</v>
      </c>
      <c r="K82" t="s">
        <v>240</v>
      </c>
      <c r="L82">
        <v>1</v>
      </c>
    </row>
    <row r="83" spans="1:12" x14ac:dyDescent="0.35">
      <c r="A83" t="s">
        <v>108</v>
      </c>
      <c r="B83" t="s">
        <v>22</v>
      </c>
      <c r="C83" t="s">
        <v>11</v>
      </c>
      <c r="D83" t="s">
        <v>12</v>
      </c>
      <c r="E83" t="s">
        <v>29</v>
      </c>
      <c r="F83">
        <v>13</v>
      </c>
      <c r="G83">
        <v>137441.75</v>
      </c>
      <c r="H83">
        <v>23</v>
      </c>
      <c r="I83">
        <v>74</v>
      </c>
      <c r="J83" t="s">
        <v>235</v>
      </c>
      <c r="K83" t="s">
        <v>239</v>
      </c>
      <c r="L83">
        <v>3</v>
      </c>
    </row>
    <row r="84" spans="1:12" x14ac:dyDescent="0.35">
      <c r="A84" t="s">
        <v>109</v>
      </c>
      <c r="B84" t="s">
        <v>25</v>
      </c>
      <c r="C84" t="s">
        <v>11</v>
      </c>
      <c r="D84" t="s">
        <v>23</v>
      </c>
      <c r="E84" t="s">
        <v>13</v>
      </c>
      <c r="F84">
        <v>71</v>
      </c>
      <c r="G84">
        <v>11066.61</v>
      </c>
      <c r="H84">
        <v>17</v>
      </c>
      <c r="I84">
        <v>86</v>
      </c>
      <c r="J84" t="s">
        <v>232</v>
      </c>
      <c r="K84" t="s">
        <v>238</v>
      </c>
      <c r="L84">
        <v>7</v>
      </c>
    </row>
    <row r="85" spans="1:12" x14ac:dyDescent="0.35">
      <c r="A85" t="s">
        <v>110</v>
      </c>
      <c r="B85" t="s">
        <v>31</v>
      </c>
      <c r="C85" t="s">
        <v>16</v>
      </c>
      <c r="D85" t="s">
        <v>26</v>
      </c>
      <c r="E85" t="s">
        <v>13</v>
      </c>
      <c r="F85">
        <v>87</v>
      </c>
      <c r="G85">
        <v>36726.76</v>
      </c>
      <c r="H85">
        <v>4</v>
      </c>
      <c r="I85">
        <v>53</v>
      </c>
      <c r="J85" t="s">
        <v>232</v>
      </c>
      <c r="K85" t="s">
        <v>234</v>
      </c>
      <c r="L85">
        <v>8</v>
      </c>
    </row>
    <row r="86" spans="1:12" x14ac:dyDescent="0.35">
      <c r="A86" t="s">
        <v>111</v>
      </c>
      <c r="B86" t="s">
        <v>15</v>
      </c>
      <c r="C86" t="s">
        <v>16</v>
      </c>
      <c r="D86" t="s">
        <v>17</v>
      </c>
      <c r="E86" t="s">
        <v>29</v>
      </c>
      <c r="F86">
        <v>40</v>
      </c>
      <c r="G86">
        <v>19717.900000000001</v>
      </c>
      <c r="H86">
        <v>20</v>
      </c>
      <c r="I86">
        <v>63</v>
      </c>
      <c r="J86" t="s">
        <v>232</v>
      </c>
      <c r="K86" t="s">
        <v>237</v>
      </c>
      <c r="L86">
        <v>5</v>
      </c>
    </row>
    <row r="87" spans="1:12" x14ac:dyDescent="0.35">
      <c r="A87" t="s">
        <v>112</v>
      </c>
      <c r="B87" t="s">
        <v>36</v>
      </c>
      <c r="C87" t="s">
        <v>16</v>
      </c>
      <c r="D87" t="s">
        <v>26</v>
      </c>
      <c r="E87" t="s">
        <v>29</v>
      </c>
      <c r="F87">
        <v>63</v>
      </c>
      <c r="G87">
        <v>82657.039999999994</v>
      </c>
      <c r="H87">
        <v>4</v>
      </c>
      <c r="I87">
        <v>55</v>
      </c>
      <c r="J87" t="s">
        <v>230</v>
      </c>
      <c r="K87" t="s">
        <v>238</v>
      </c>
      <c r="L87">
        <v>7</v>
      </c>
    </row>
    <row r="88" spans="1:12" x14ac:dyDescent="0.35">
      <c r="A88" t="s">
        <v>113</v>
      </c>
      <c r="B88" t="s">
        <v>15</v>
      </c>
      <c r="C88" t="s">
        <v>16</v>
      </c>
      <c r="D88" t="s">
        <v>17</v>
      </c>
      <c r="E88" t="s">
        <v>29</v>
      </c>
      <c r="F88">
        <v>1</v>
      </c>
      <c r="G88">
        <v>16874.009999999998</v>
      </c>
      <c r="H88">
        <v>14</v>
      </c>
      <c r="I88">
        <v>76</v>
      </c>
      <c r="J88" t="s">
        <v>232</v>
      </c>
      <c r="K88" t="s">
        <v>240</v>
      </c>
      <c r="L88">
        <v>1</v>
      </c>
    </row>
    <row r="89" spans="1:12" x14ac:dyDescent="0.35">
      <c r="A89" t="s">
        <v>114</v>
      </c>
      <c r="B89" t="s">
        <v>15</v>
      </c>
      <c r="C89" t="s">
        <v>41</v>
      </c>
      <c r="D89" t="s">
        <v>12</v>
      </c>
      <c r="E89" t="s">
        <v>18</v>
      </c>
      <c r="F89">
        <v>37</v>
      </c>
      <c r="G89">
        <v>8578.83</v>
      </c>
      <c r="H89">
        <v>2</v>
      </c>
      <c r="I89">
        <v>90</v>
      </c>
      <c r="J89" t="s">
        <v>232</v>
      </c>
      <c r="K89" t="s">
        <v>237</v>
      </c>
      <c r="L89">
        <v>5</v>
      </c>
    </row>
    <row r="90" spans="1:12" x14ac:dyDescent="0.35">
      <c r="A90" t="s">
        <v>115</v>
      </c>
      <c r="B90" t="s">
        <v>36</v>
      </c>
      <c r="C90" t="s">
        <v>11</v>
      </c>
      <c r="D90" t="s">
        <v>17</v>
      </c>
      <c r="E90" t="s">
        <v>18</v>
      </c>
      <c r="F90">
        <v>7</v>
      </c>
      <c r="G90">
        <v>22311.39</v>
      </c>
      <c r="H90">
        <v>14</v>
      </c>
      <c r="I90">
        <v>86</v>
      </c>
      <c r="J90" t="s">
        <v>232</v>
      </c>
      <c r="K90" t="s">
        <v>231</v>
      </c>
      <c r="L90">
        <v>2</v>
      </c>
    </row>
    <row r="91" spans="1:12" x14ac:dyDescent="0.35">
      <c r="A91" t="s">
        <v>116</v>
      </c>
      <c r="B91" t="s">
        <v>25</v>
      </c>
      <c r="C91" t="s">
        <v>41</v>
      </c>
      <c r="D91" t="s">
        <v>12</v>
      </c>
      <c r="E91" t="s">
        <v>29</v>
      </c>
      <c r="F91">
        <v>46</v>
      </c>
      <c r="G91">
        <v>128560.01</v>
      </c>
      <c r="H91">
        <v>7</v>
      </c>
      <c r="I91">
        <v>52</v>
      </c>
      <c r="J91" t="s">
        <v>235</v>
      </c>
      <c r="K91" t="s">
        <v>233</v>
      </c>
      <c r="L91">
        <v>6</v>
      </c>
    </row>
    <row r="92" spans="1:12" x14ac:dyDescent="0.35">
      <c r="A92" t="s">
        <v>117</v>
      </c>
      <c r="B92" t="s">
        <v>31</v>
      </c>
      <c r="C92" t="s">
        <v>11</v>
      </c>
      <c r="D92" t="s">
        <v>23</v>
      </c>
      <c r="E92" t="s">
        <v>29</v>
      </c>
      <c r="F92">
        <v>30</v>
      </c>
      <c r="G92">
        <v>147742.63</v>
      </c>
      <c r="H92">
        <v>28</v>
      </c>
      <c r="I92">
        <v>62</v>
      </c>
      <c r="J92" t="s">
        <v>235</v>
      </c>
      <c r="K92" t="s">
        <v>237</v>
      </c>
      <c r="L92">
        <v>5</v>
      </c>
    </row>
    <row r="93" spans="1:12" x14ac:dyDescent="0.35">
      <c r="A93" t="s">
        <v>118</v>
      </c>
      <c r="B93" t="s">
        <v>15</v>
      </c>
      <c r="C93" t="s">
        <v>11</v>
      </c>
      <c r="D93" t="s">
        <v>17</v>
      </c>
      <c r="E93" t="s">
        <v>29</v>
      </c>
      <c r="F93">
        <v>66</v>
      </c>
      <c r="G93">
        <v>54562.1</v>
      </c>
      <c r="H93">
        <v>21</v>
      </c>
      <c r="I93">
        <v>86</v>
      </c>
      <c r="J93" t="s">
        <v>230</v>
      </c>
      <c r="K93" t="s">
        <v>238</v>
      </c>
      <c r="L93">
        <v>7</v>
      </c>
    </row>
    <row r="94" spans="1:12" x14ac:dyDescent="0.35">
      <c r="A94" t="s">
        <v>119</v>
      </c>
      <c r="B94" t="s">
        <v>36</v>
      </c>
      <c r="C94" t="s">
        <v>28</v>
      </c>
      <c r="D94" t="s">
        <v>23</v>
      </c>
      <c r="E94" t="s">
        <v>29</v>
      </c>
      <c r="F94">
        <v>1</v>
      </c>
      <c r="G94">
        <v>146289.26999999999</v>
      </c>
      <c r="H94">
        <v>17</v>
      </c>
      <c r="I94">
        <v>47</v>
      </c>
      <c r="J94" t="s">
        <v>235</v>
      </c>
      <c r="K94" t="s">
        <v>240</v>
      </c>
      <c r="L94">
        <v>1</v>
      </c>
    </row>
    <row r="95" spans="1:12" x14ac:dyDescent="0.35">
      <c r="A95" t="s">
        <v>120</v>
      </c>
      <c r="B95" t="s">
        <v>31</v>
      </c>
      <c r="C95" t="s">
        <v>41</v>
      </c>
      <c r="D95" t="s">
        <v>32</v>
      </c>
      <c r="E95" t="s">
        <v>29</v>
      </c>
      <c r="F95">
        <v>89</v>
      </c>
      <c r="G95">
        <v>128840.81</v>
      </c>
      <c r="H95">
        <v>22</v>
      </c>
      <c r="I95">
        <v>81</v>
      </c>
      <c r="J95" t="s">
        <v>235</v>
      </c>
      <c r="K95" t="s">
        <v>234</v>
      </c>
      <c r="L95">
        <v>8</v>
      </c>
    </row>
    <row r="96" spans="1:12" x14ac:dyDescent="0.35">
      <c r="A96" t="s">
        <v>121</v>
      </c>
      <c r="B96" t="s">
        <v>22</v>
      </c>
      <c r="C96" t="s">
        <v>16</v>
      </c>
      <c r="D96" t="s">
        <v>17</v>
      </c>
      <c r="E96" t="s">
        <v>29</v>
      </c>
      <c r="F96">
        <v>48</v>
      </c>
      <c r="G96">
        <v>19629.22</v>
      </c>
      <c r="H96">
        <v>2</v>
      </c>
      <c r="I96">
        <v>95</v>
      </c>
      <c r="J96" t="s">
        <v>232</v>
      </c>
      <c r="K96" t="s">
        <v>233</v>
      </c>
      <c r="L96">
        <v>6</v>
      </c>
    </row>
    <row r="97" spans="1:12" x14ac:dyDescent="0.35">
      <c r="A97" t="s">
        <v>122</v>
      </c>
      <c r="B97" t="s">
        <v>31</v>
      </c>
      <c r="C97" t="s">
        <v>28</v>
      </c>
      <c r="D97" t="s">
        <v>32</v>
      </c>
      <c r="E97" t="s">
        <v>13</v>
      </c>
      <c r="F97">
        <v>59</v>
      </c>
      <c r="G97">
        <v>73629.03</v>
      </c>
      <c r="H97">
        <v>10</v>
      </c>
      <c r="I97">
        <v>85</v>
      </c>
      <c r="J97" t="s">
        <v>230</v>
      </c>
      <c r="K97" t="s">
        <v>233</v>
      </c>
      <c r="L97">
        <v>6</v>
      </c>
    </row>
    <row r="98" spans="1:12" x14ac:dyDescent="0.35">
      <c r="A98" t="s">
        <v>123</v>
      </c>
      <c r="B98" t="s">
        <v>25</v>
      </c>
      <c r="C98" t="s">
        <v>16</v>
      </c>
      <c r="D98" t="s">
        <v>32</v>
      </c>
      <c r="E98" t="s">
        <v>29</v>
      </c>
      <c r="F98">
        <v>54</v>
      </c>
      <c r="G98">
        <v>100747.7</v>
      </c>
      <c r="H98">
        <v>12</v>
      </c>
      <c r="I98">
        <v>74</v>
      </c>
      <c r="J98" t="s">
        <v>230</v>
      </c>
      <c r="K98" t="s">
        <v>233</v>
      </c>
      <c r="L98">
        <v>6</v>
      </c>
    </row>
    <row r="99" spans="1:12" x14ac:dyDescent="0.35">
      <c r="A99" t="s">
        <v>124</v>
      </c>
      <c r="B99" t="s">
        <v>15</v>
      </c>
      <c r="C99" t="s">
        <v>11</v>
      </c>
      <c r="D99" t="s">
        <v>12</v>
      </c>
      <c r="E99" t="s">
        <v>29</v>
      </c>
      <c r="F99">
        <v>35</v>
      </c>
      <c r="G99">
        <v>85523.17</v>
      </c>
      <c r="H99">
        <v>30</v>
      </c>
      <c r="I99">
        <v>90</v>
      </c>
      <c r="J99" t="s">
        <v>230</v>
      </c>
      <c r="K99" t="s">
        <v>237</v>
      </c>
      <c r="L99">
        <v>5</v>
      </c>
    </row>
    <row r="100" spans="1:12" x14ac:dyDescent="0.35">
      <c r="A100" t="s">
        <v>125</v>
      </c>
      <c r="B100" t="s">
        <v>31</v>
      </c>
      <c r="C100" t="s">
        <v>16</v>
      </c>
      <c r="D100" t="s">
        <v>23</v>
      </c>
      <c r="E100" t="s">
        <v>29</v>
      </c>
      <c r="F100">
        <v>33</v>
      </c>
      <c r="G100">
        <v>79151.14</v>
      </c>
      <c r="H100">
        <v>2</v>
      </c>
      <c r="I100">
        <v>56</v>
      </c>
      <c r="J100" t="s">
        <v>230</v>
      </c>
      <c r="K100" t="s">
        <v>237</v>
      </c>
      <c r="L100">
        <v>5</v>
      </c>
    </row>
    <row r="101" spans="1:12" x14ac:dyDescent="0.35">
      <c r="A101" t="s">
        <v>126</v>
      </c>
      <c r="B101" t="s">
        <v>36</v>
      </c>
      <c r="C101" t="s">
        <v>11</v>
      </c>
      <c r="D101" t="s">
        <v>23</v>
      </c>
      <c r="E101" t="s">
        <v>13</v>
      </c>
      <c r="F101">
        <v>30</v>
      </c>
      <c r="G101">
        <v>115395.67</v>
      </c>
      <c r="H101">
        <v>11</v>
      </c>
      <c r="I101">
        <v>74</v>
      </c>
      <c r="J101" t="s">
        <v>235</v>
      </c>
      <c r="K101" t="s">
        <v>237</v>
      </c>
      <c r="L101">
        <v>5</v>
      </c>
    </row>
    <row r="102" spans="1:12" x14ac:dyDescent="0.35">
      <c r="A102" t="s">
        <v>127</v>
      </c>
      <c r="B102" t="s">
        <v>22</v>
      </c>
      <c r="C102" t="s">
        <v>28</v>
      </c>
      <c r="D102" t="s">
        <v>12</v>
      </c>
      <c r="E102" t="s">
        <v>13</v>
      </c>
      <c r="F102">
        <v>60</v>
      </c>
      <c r="G102">
        <v>49131.44</v>
      </c>
      <c r="H102">
        <v>2</v>
      </c>
      <c r="I102">
        <v>44</v>
      </c>
      <c r="J102" t="s">
        <v>232</v>
      </c>
      <c r="K102" t="s">
        <v>238</v>
      </c>
      <c r="L102">
        <v>7</v>
      </c>
    </row>
    <row r="103" spans="1:12" x14ac:dyDescent="0.35">
      <c r="A103" t="s">
        <v>128</v>
      </c>
      <c r="B103" t="s">
        <v>31</v>
      </c>
      <c r="C103" t="s">
        <v>11</v>
      </c>
      <c r="D103" t="s">
        <v>23</v>
      </c>
      <c r="E103" t="s">
        <v>29</v>
      </c>
      <c r="F103">
        <v>70</v>
      </c>
      <c r="G103">
        <v>58132.5</v>
      </c>
      <c r="H103">
        <v>25</v>
      </c>
      <c r="I103">
        <v>43</v>
      </c>
      <c r="J103" t="s">
        <v>230</v>
      </c>
      <c r="K103" t="s">
        <v>238</v>
      </c>
      <c r="L103">
        <v>7</v>
      </c>
    </row>
    <row r="104" spans="1:12" x14ac:dyDescent="0.35">
      <c r="A104" t="s">
        <v>129</v>
      </c>
      <c r="B104" t="s">
        <v>36</v>
      </c>
      <c r="C104" t="s">
        <v>41</v>
      </c>
      <c r="D104" t="s">
        <v>12</v>
      </c>
      <c r="E104" t="s">
        <v>13</v>
      </c>
      <c r="F104">
        <v>6</v>
      </c>
      <c r="G104">
        <v>77311.77</v>
      </c>
      <c r="H104">
        <v>19</v>
      </c>
      <c r="I104">
        <v>90</v>
      </c>
      <c r="J104" t="s">
        <v>230</v>
      </c>
      <c r="K104" t="s">
        <v>231</v>
      </c>
      <c r="L104">
        <v>2</v>
      </c>
    </row>
    <row r="105" spans="1:12" x14ac:dyDescent="0.35">
      <c r="A105" t="s">
        <v>130</v>
      </c>
      <c r="B105" t="s">
        <v>25</v>
      </c>
      <c r="C105" t="s">
        <v>28</v>
      </c>
      <c r="D105" t="s">
        <v>32</v>
      </c>
      <c r="E105" t="s">
        <v>29</v>
      </c>
      <c r="F105">
        <v>70</v>
      </c>
      <c r="G105">
        <v>14270.62</v>
      </c>
      <c r="H105">
        <v>24</v>
      </c>
      <c r="I105">
        <v>43</v>
      </c>
      <c r="J105" t="s">
        <v>232</v>
      </c>
      <c r="K105" t="s">
        <v>238</v>
      </c>
      <c r="L105">
        <v>7</v>
      </c>
    </row>
    <row r="106" spans="1:12" x14ac:dyDescent="0.35">
      <c r="A106" t="s">
        <v>131</v>
      </c>
      <c r="B106" t="s">
        <v>15</v>
      </c>
      <c r="C106" t="s">
        <v>28</v>
      </c>
      <c r="D106" t="s">
        <v>26</v>
      </c>
      <c r="E106" t="s">
        <v>13</v>
      </c>
      <c r="F106">
        <v>52</v>
      </c>
      <c r="G106">
        <v>97685.72</v>
      </c>
      <c r="H106">
        <v>28</v>
      </c>
      <c r="I106">
        <v>59</v>
      </c>
      <c r="J106" t="s">
        <v>230</v>
      </c>
      <c r="K106" t="s">
        <v>233</v>
      </c>
      <c r="L106">
        <v>6</v>
      </c>
    </row>
    <row r="107" spans="1:12" x14ac:dyDescent="0.35">
      <c r="A107" t="s">
        <v>132</v>
      </c>
      <c r="B107" t="s">
        <v>10</v>
      </c>
      <c r="C107" t="s">
        <v>16</v>
      </c>
      <c r="D107" t="s">
        <v>23</v>
      </c>
      <c r="E107" t="s">
        <v>18</v>
      </c>
      <c r="F107">
        <v>64</v>
      </c>
      <c r="G107">
        <v>142687.47</v>
      </c>
      <c r="H107">
        <v>27</v>
      </c>
      <c r="I107">
        <v>80</v>
      </c>
      <c r="J107" t="s">
        <v>235</v>
      </c>
      <c r="K107" t="s">
        <v>238</v>
      </c>
      <c r="L107">
        <v>7</v>
      </c>
    </row>
    <row r="108" spans="1:12" x14ac:dyDescent="0.35">
      <c r="A108" t="s">
        <v>133</v>
      </c>
      <c r="B108" t="s">
        <v>31</v>
      </c>
      <c r="C108" t="s">
        <v>28</v>
      </c>
      <c r="D108" t="s">
        <v>17</v>
      </c>
      <c r="E108" t="s">
        <v>29</v>
      </c>
      <c r="F108">
        <v>35</v>
      </c>
      <c r="G108">
        <v>36754.51</v>
      </c>
      <c r="H108">
        <v>27</v>
      </c>
      <c r="I108">
        <v>49</v>
      </c>
      <c r="J108" t="s">
        <v>232</v>
      </c>
      <c r="K108" t="s">
        <v>237</v>
      </c>
      <c r="L108">
        <v>5</v>
      </c>
    </row>
    <row r="109" spans="1:12" x14ac:dyDescent="0.35">
      <c r="A109" t="s">
        <v>134</v>
      </c>
      <c r="B109" t="s">
        <v>15</v>
      </c>
      <c r="C109" t="s">
        <v>16</v>
      </c>
      <c r="D109" t="s">
        <v>17</v>
      </c>
      <c r="E109" t="s">
        <v>29</v>
      </c>
      <c r="F109">
        <v>62</v>
      </c>
      <c r="G109">
        <v>34938.57</v>
      </c>
      <c r="H109">
        <v>8</v>
      </c>
      <c r="I109">
        <v>70</v>
      </c>
      <c r="J109" t="s">
        <v>232</v>
      </c>
      <c r="K109" t="s">
        <v>238</v>
      </c>
      <c r="L109">
        <v>7</v>
      </c>
    </row>
    <row r="110" spans="1:12" x14ac:dyDescent="0.35">
      <c r="A110" t="s">
        <v>135</v>
      </c>
      <c r="B110" t="s">
        <v>22</v>
      </c>
      <c r="C110" t="s">
        <v>28</v>
      </c>
      <c r="D110" t="s">
        <v>12</v>
      </c>
      <c r="E110" t="s">
        <v>13</v>
      </c>
      <c r="F110">
        <v>22</v>
      </c>
      <c r="G110">
        <v>97228.49</v>
      </c>
      <c r="H110">
        <v>7</v>
      </c>
      <c r="I110">
        <v>60</v>
      </c>
      <c r="J110" t="s">
        <v>230</v>
      </c>
      <c r="K110" t="s">
        <v>236</v>
      </c>
      <c r="L110">
        <v>4</v>
      </c>
    </row>
    <row r="111" spans="1:12" x14ac:dyDescent="0.35">
      <c r="A111" t="s">
        <v>136</v>
      </c>
      <c r="B111" t="s">
        <v>25</v>
      </c>
      <c r="C111" t="s">
        <v>28</v>
      </c>
      <c r="D111" t="s">
        <v>17</v>
      </c>
      <c r="E111" t="s">
        <v>13</v>
      </c>
      <c r="F111">
        <v>42</v>
      </c>
      <c r="G111">
        <v>91441.1</v>
      </c>
      <c r="H111">
        <v>22</v>
      </c>
      <c r="I111">
        <v>84</v>
      </c>
      <c r="J111" t="s">
        <v>230</v>
      </c>
      <c r="K111" t="s">
        <v>237</v>
      </c>
      <c r="L111">
        <v>5</v>
      </c>
    </row>
    <row r="112" spans="1:12" x14ac:dyDescent="0.35">
      <c r="A112" t="s">
        <v>137</v>
      </c>
      <c r="B112" t="s">
        <v>10</v>
      </c>
      <c r="C112" t="s">
        <v>41</v>
      </c>
      <c r="D112" t="s">
        <v>32</v>
      </c>
      <c r="E112" t="s">
        <v>13</v>
      </c>
      <c r="F112">
        <v>24</v>
      </c>
      <c r="G112">
        <v>139624.06</v>
      </c>
      <c r="H112">
        <v>5</v>
      </c>
      <c r="I112">
        <v>55</v>
      </c>
      <c r="J112" t="s">
        <v>235</v>
      </c>
      <c r="K112" t="s">
        <v>236</v>
      </c>
      <c r="L112">
        <v>4</v>
      </c>
    </row>
    <row r="113" spans="1:12" x14ac:dyDescent="0.35">
      <c r="A113" t="s">
        <v>138</v>
      </c>
      <c r="B113" t="s">
        <v>25</v>
      </c>
      <c r="C113" t="s">
        <v>16</v>
      </c>
      <c r="D113" t="s">
        <v>12</v>
      </c>
      <c r="E113" t="s">
        <v>29</v>
      </c>
      <c r="F113">
        <v>17</v>
      </c>
      <c r="G113">
        <v>86650.5</v>
      </c>
      <c r="H113">
        <v>3</v>
      </c>
      <c r="I113">
        <v>53</v>
      </c>
      <c r="J113" t="s">
        <v>230</v>
      </c>
      <c r="K113" t="s">
        <v>239</v>
      </c>
      <c r="L113">
        <v>3</v>
      </c>
    </row>
    <row r="114" spans="1:12" x14ac:dyDescent="0.35">
      <c r="A114" t="s">
        <v>139</v>
      </c>
      <c r="B114" t="s">
        <v>31</v>
      </c>
      <c r="C114" t="s">
        <v>11</v>
      </c>
      <c r="D114" t="s">
        <v>17</v>
      </c>
      <c r="E114" t="s">
        <v>18</v>
      </c>
      <c r="F114">
        <v>75</v>
      </c>
      <c r="G114">
        <v>85517.09</v>
      </c>
      <c r="H114">
        <v>6</v>
      </c>
      <c r="I114">
        <v>79</v>
      </c>
      <c r="J114" t="s">
        <v>230</v>
      </c>
      <c r="K114" t="s">
        <v>234</v>
      </c>
      <c r="L114">
        <v>8</v>
      </c>
    </row>
    <row r="115" spans="1:12" x14ac:dyDescent="0.35">
      <c r="A115" t="s">
        <v>140</v>
      </c>
      <c r="B115" t="s">
        <v>10</v>
      </c>
      <c r="C115" t="s">
        <v>11</v>
      </c>
      <c r="D115" t="s">
        <v>17</v>
      </c>
      <c r="E115" t="s">
        <v>13</v>
      </c>
      <c r="F115">
        <v>47</v>
      </c>
      <c r="G115">
        <v>134120.62</v>
      </c>
      <c r="H115">
        <v>11</v>
      </c>
      <c r="I115">
        <v>92</v>
      </c>
      <c r="J115" t="s">
        <v>235</v>
      </c>
      <c r="K115" t="s">
        <v>233</v>
      </c>
      <c r="L115">
        <v>6</v>
      </c>
    </row>
    <row r="116" spans="1:12" x14ac:dyDescent="0.35">
      <c r="A116" t="s">
        <v>141</v>
      </c>
      <c r="B116" t="s">
        <v>22</v>
      </c>
      <c r="C116" t="s">
        <v>41</v>
      </c>
      <c r="D116" t="s">
        <v>23</v>
      </c>
      <c r="E116" t="s">
        <v>29</v>
      </c>
      <c r="F116">
        <v>81</v>
      </c>
      <c r="G116">
        <v>22593.06</v>
      </c>
      <c r="H116">
        <v>6</v>
      </c>
      <c r="I116">
        <v>67</v>
      </c>
      <c r="J116" t="s">
        <v>232</v>
      </c>
      <c r="K116" t="s">
        <v>234</v>
      </c>
      <c r="L116">
        <v>8</v>
      </c>
    </row>
    <row r="117" spans="1:12" x14ac:dyDescent="0.35">
      <c r="A117" t="s">
        <v>142</v>
      </c>
      <c r="B117" t="s">
        <v>10</v>
      </c>
      <c r="C117" t="s">
        <v>28</v>
      </c>
      <c r="D117" t="s">
        <v>23</v>
      </c>
      <c r="E117" t="s">
        <v>18</v>
      </c>
      <c r="F117">
        <v>20</v>
      </c>
      <c r="G117">
        <v>88741.64</v>
      </c>
      <c r="H117">
        <v>26</v>
      </c>
      <c r="I117">
        <v>99</v>
      </c>
      <c r="J117" t="s">
        <v>230</v>
      </c>
      <c r="K117" t="s">
        <v>236</v>
      </c>
      <c r="L117">
        <v>4</v>
      </c>
    </row>
    <row r="118" spans="1:12" x14ac:dyDescent="0.35">
      <c r="A118" t="s">
        <v>143</v>
      </c>
      <c r="B118" t="s">
        <v>10</v>
      </c>
      <c r="C118" t="s">
        <v>16</v>
      </c>
      <c r="D118" t="s">
        <v>17</v>
      </c>
      <c r="E118" t="s">
        <v>18</v>
      </c>
      <c r="F118">
        <v>14</v>
      </c>
      <c r="G118">
        <v>10917.19</v>
      </c>
      <c r="H118">
        <v>22</v>
      </c>
      <c r="I118">
        <v>43</v>
      </c>
      <c r="J118" t="s">
        <v>232</v>
      </c>
      <c r="K118" t="s">
        <v>239</v>
      </c>
      <c r="L118">
        <v>3</v>
      </c>
    </row>
    <row r="119" spans="1:12" x14ac:dyDescent="0.35">
      <c r="A119" t="s">
        <v>144</v>
      </c>
      <c r="B119" t="s">
        <v>10</v>
      </c>
      <c r="C119" t="s">
        <v>41</v>
      </c>
      <c r="D119" t="s">
        <v>32</v>
      </c>
      <c r="E119" t="s">
        <v>13</v>
      </c>
      <c r="F119">
        <v>30</v>
      </c>
      <c r="G119">
        <v>97613.71</v>
      </c>
      <c r="H119">
        <v>24</v>
      </c>
      <c r="I119">
        <v>72</v>
      </c>
      <c r="J119" t="s">
        <v>230</v>
      </c>
      <c r="K119" t="s">
        <v>237</v>
      </c>
      <c r="L119">
        <v>5</v>
      </c>
    </row>
    <row r="120" spans="1:12" x14ac:dyDescent="0.35">
      <c r="A120" t="s">
        <v>145</v>
      </c>
      <c r="B120" t="s">
        <v>36</v>
      </c>
      <c r="C120" t="s">
        <v>41</v>
      </c>
      <c r="D120" t="s">
        <v>23</v>
      </c>
      <c r="E120" t="s">
        <v>13</v>
      </c>
      <c r="F120">
        <v>81</v>
      </c>
      <c r="G120">
        <v>135711.26999999999</v>
      </c>
      <c r="H120">
        <v>14</v>
      </c>
      <c r="I120">
        <v>99</v>
      </c>
      <c r="J120" t="s">
        <v>235</v>
      </c>
      <c r="K120" t="s">
        <v>234</v>
      </c>
      <c r="L120">
        <v>8</v>
      </c>
    </row>
    <row r="121" spans="1:12" x14ac:dyDescent="0.35">
      <c r="A121" t="s">
        <v>146</v>
      </c>
      <c r="B121" t="s">
        <v>15</v>
      </c>
      <c r="C121" t="s">
        <v>16</v>
      </c>
      <c r="D121" t="s">
        <v>23</v>
      </c>
      <c r="E121" t="s">
        <v>13</v>
      </c>
      <c r="F121">
        <v>48</v>
      </c>
      <c r="G121">
        <v>117464.18</v>
      </c>
      <c r="H121">
        <v>2</v>
      </c>
      <c r="I121">
        <v>61</v>
      </c>
      <c r="J121" t="s">
        <v>235</v>
      </c>
      <c r="K121" t="s">
        <v>233</v>
      </c>
      <c r="L121">
        <v>6</v>
      </c>
    </row>
    <row r="122" spans="1:12" x14ac:dyDescent="0.35">
      <c r="A122" t="s">
        <v>147</v>
      </c>
      <c r="B122" t="s">
        <v>22</v>
      </c>
      <c r="C122" t="s">
        <v>16</v>
      </c>
      <c r="D122" t="s">
        <v>23</v>
      </c>
      <c r="E122" t="s">
        <v>29</v>
      </c>
      <c r="F122">
        <v>45</v>
      </c>
      <c r="G122">
        <v>89474.55</v>
      </c>
      <c r="H122">
        <v>21</v>
      </c>
      <c r="I122">
        <v>64</v>
      </c>
      <c r="J122" t="s">
        <v>230</v>
      </c>
      <c r="K122" t="s">
        <v>233</v>
      </c>
      <c r="L122">
        <v>6</v>
      </c>
    </row>
    <row r="123" spans="1:12" x14ac:dyDescent="0.35">
      <c r="A123" t="s">
        <v>148</v>
      </c>
      <c r="B123" t="s">
        <v>10</v>
      </c>
      <c r="C123" t="s">
        <v>41</v>
      </c>
      <c r="D123" t="s">
        <v>32</v>
      </c>
      <c r="E123" t="s">
        <v>29</v>
      </c>
      <c r="F123">
        <v>1</v>
      </c>
      <c r="G123">
        <v>105954.09</v>
      </c>
      <c r="H123">
        <v>12</v>
      </c>
      <c r="I123">
        <v>95</v>
      </c>
      <c r="J123" t="s">
        <v>235</v>
      </c>
      <c r="K123" t="s">
        <v>240</v>
      </c>
      <c r="L123">
        <v>1</v>
      </c>
    </row>
    <row r="124" spans="1:12" x14ac:dyDescent="0.35">
      <c r="A124" t="s">
        <v>149</v>
      </c>
      <c r="B124" t="s">
        <v>15</v>
      </c>
      <c r="C124" t="s">
        <v>28</v>
      </c>
      <c r="D124" t="s">
        <v>26</v>
      </c>
      <c r="E124" t="s">
        <v>13</v>
      </c>
      <c r="F124">
        <v>30</v>
      </c>
      <c r="G124">
        <v>91267.91</v>
      </c>
      <c r="H124">
        <v>17</v>
      </c>
      <c r="I124">
        <v>76</v>
      </c>
      <c r="J124" t="s">
        <v>230</v>
      </c>
      <c r="K124" t="s">
        <v>237</v>
      </c>
      <c r="L124">
        <v>5</v>
      </c>
    </row>
    <row r="125" spans="1:12" x14ac:dyDescent="0.35">
      <c r="A125" t="s">
        <v>150</v>
      </c>
      <c r="B125" t="s">
        <v>36</v>
      </c>
      <c r="C125" t="s">
        <v>11</v>
      </c>
      <c r="D125" t="s">
        <v>26</v>
      </c>
      <c r="E125" t="s">
        <v>13</v>
      </c>
      <c r="F125">
        <v>3</v>
      </c>
      <c r="G125">
        <v>46506.94</v>
      </c>
      <c r="H125">
        <v>9</v>
      </c>
      <c r="I125">
        <v>72</v>
      </c>
      <c r="J125" t="s">
        <v>232</v>
      </c>
      <c r="K125" t="s">
        <v>240</v>
      </c>
      <c r="L125">
        <v>1</v>
      </c>
    </row>
    <row r="126" spans="1:12" x14ac:dyDescent="0.35">
      <c r="A126" t="s">
        <v>151</v>
      </c>
      <c r="B126" t="s">
        <v>31</v>
      </c>
      <c r="C126" t="s">
        <v>41</v>
      </c>
      <c r="D126" t="s">
        <v>17</v>
      </c>
      <c r="E126" t="s">
        <v>13</v>
      </c>
      <c r="F126">
        <v>78</v>
      </c>
      <c r="G126">
        <v>40568.300000000003</v>
      </c>
      <c r="H126">
        <v>18</v>
      </c>
      <c r="I126">
        <v>91</v>
      </c>
      <c r="J126" t="s">
        <v>232</v>
      </c>
      <c r="K126" t="s">
        <v>234</v>
      </c>
      <c r="L126">
        <v>8</v>
      </c>
    </row>
    <row r="127" spans="1:12" x14ac:dyDescent="0.35">
      <c r="A127" t="s">
        <v>152</v>
      </c>
      <c r="B127" t="s">
        <v>22</v>
      </c>
      <c r="C127" t="s">
        <v>11</v>
      </c>
      <c r="D127" t="s">
        <v>32</v>
      </c>
      <c r="E127" t="s">
        <v>18</v>
      </c>
      <c r="F127">
        <v>35</v>
      </c>
      <c r="G127">
        <v>132265.98000000001</v>
      </c>
      <c r="H127">
        <v>7</v>
      </c>
      <c r="I127">
        <v>45</v>
      </c>
      <c r="J127" t="s">
        <v>235</v>
      </c>
      <c r="K127" t="s">
        <v>237</v>
      </c>
      <c r="L127">
        <v>5</v>
      </c>
    </row>
    <row r="128" spans="1:12" x14ac:dyDescent="0.35">
      <c r="A128" t="s">
        <v>153</v>
      </c>
      <c r="B128" t="s">
        <v>15</v>
      </c>
      <c r="C128" t="s">
        <v>41</v>
      </c>
      <c r="D128" t="s">
        <v>23</v>
      </c>
      <c r="E128" t="s">
        <v>18</v>
      </c>
      <c r="F128">
        <v>88</v>
      </c>
      <c r="G128">
        <v>50993.47</v>
      </c>
      <c r="H128">
        <v>4</v>
      </c>
      <c r="I128">
        <v>82</v>
      </c>
      <c r="J128" t="s">
        <v>232</v>
      </c>
      <c r="K128" t="s">
        <v>234</v>
      </c>
      <c r="L128">
        <v>8</v>
      </c>
    </row>
    <row r="129" spans="1:12" x14ac:dyDescent="0.35">
      <c r="A129" t="s">
        <v>154</v>
      </c>
      <c r="B129" t="s">
        <v>22</v>
      </c>
      <c r="C129" t="s">
        <v>41</v>
      </c>
      <c r="D129" t="s">
        <v>17</v>
      </c>
      <c r="E129" t="s">
        <v>18</v>
      </c>
      <c r="F129">
        <v>7</v>
      </c>
      <c r="G129">
        <v>135590.48000000001</v>
      </c>
      <c r="H129">
        <v>6</v>
      </c>
      <c r="I129">
        <v>46</v>
      </c>
      <c r="J129" t="s">
        <v>235</v>
      </c>
      <c r="K129" t="s">
        <v>231</v>
      </c>
      <c r="L129">
        <v>2</v>
      </c>
    </row>
    <row r="130" spans="1:12" x14ac:dyDescent="0.35">
      <c r="A130" t="s">
        <v>155</v>
      </c>
      <c r="B130" t="s">
        <v>15</v>
      </c>
      <c r="C130" t="s">
        <v>41</v>
      </c>
      <c r="D130" t="s">
        <v>32</v>
      </c>
      <c r="E130" t="s">
        <v>13</v>
      </c>
      <c r="F130">
        <v>73</v>
      </c>
      <c r="G130">
        <v>148956.56</v>
      </c>
      <c r="H130">
        <v>6</v>
      </c>
      <c r="I130">
        <v>100</v>
      </c>
      <c r="J130" t="s">
        <v>235</v>
      </c>
      <c r="K130" t="s">
        <v>238</v>
      </c>
      <c r="L130">
        <v>7</v>
      </c>
    </row>
    <row r="131" spans="1:12" x14ac:dyDescent="0.35">
      <c r="A131" t="s">
        <v>156</v>
      </c>
      <c r="B131" t="s">
        <v>25</v>
      </c>
      <c r="C131" t="s">
        <v>16</v>
      </c>
      <c r="D131" t="s">
        <v>12</v>
      </c>
      <c r="E131" t="s">
        <v>18</v>
      </c>
      <c r="F131">
        <v>83</v>
      </c>
      <c r="G131">
        <v>71584.960000000006</v>
      </c>
      <c r="H131">
        <v>26</v>
      </c>
      <c r="I131">
        <v>55</v>
      </c>
      <c r="J131" t="s">
        <v>230</v>
      </c>
      <c r="K131" t="s">
        <v>234</v>
      </c>
      <c r="L131">
        <v>8</v>
      </c>
    </row>
    <row r="132" spans="1:12" x14ac:dyDescent="0.35">
      <c r="A132" t="s">
        <v>157</v>
      </c>
      <c r="B132" t="s">
        <v>22</v>
      </c>
      <c r="C132" t="s">
        <v>28</v>
      </c>
      <c r="D132" t="s">
        <v>17</v>
      </c>
      <c r="E132" t="s">
        <v>29</v>
      </c>
      <c r="F132">
        <v>37</v>
      </c>
      <c r="G132">
        <v>78613.16</v>
      </c>
      <c r="H132">
        <v>20</v>
      </c>
      <c r="I132">
        <v>85</v>
      </c>
      <c r="J132" t="s">
        <v>230</v>
      </c>
      <c r="K132" t="s">
        <v>237</v>
      </c>
      <c r="L132">
        <v>5</v>
      </c>
    </row>
    <row r="133" spans="1:12" x14ac:dyDescent="0.35">
      <c r="A133" t="s">
        <v>158</v>
      </c>
      <c r="B133" t="s">
        <v>22</v>
      </c>
      <c r="C133" t="s">
        <v>11</v>
      </c>
      <c r="D133" t="s">
        <v>23</v>
      </c>
      <c r="E133" t="s">
        <v>18</v>
      </c>
      <c r="F133">
        <v>53</v>
      </c>
      <c r="G133">
        <v>103548.4</v>
      </c>
      <c r="H133">
        <v>27</v>
      </c>
      <c r="I133">
        <v>74</v>
      </c>
      <c r="J133" t="s">
        <v>235</v>
      </c>
      <c r="K133" t="s">
        <v>233</v>
      </c>
      <c r="L133">
        <v>6</v>
      </c>
    </row>
    <row r="134" spans="1:12" x14ac:dyDescent="0.35">
      <c r="A134" t="s">
        <v>159</v>
      </c>
      <c r="B134" t="s">
        <v>31</v>
      </c>
      <c r="C134" t="s">
        <v>11</v>
      </c>
      <c r="D134" t="s">
        <v>32</v>
      </c>
      <c r="E134" t="s">
        <v>29</v>
      </c>
      <c r="F134">
        <v>50</v>
      </c>
      <c r="G134">
        <v>62134.18</v>
      </c>
      <c r="H134">
        <v>13</v>
      </c>
      <c r="I134">
        <v>40</v>
      </c>
      <c r="J134" t="s">
        <v>230</v>
      </c>
      <c r="K134" t="s">
        <v>233</v>
      </c>
      <c r="L134">
        <v>6</v>
      </c>
    </row>
    <row r="135" spans="1:12" x14ac:dyDescent="0.35">
      <c r="A135" t="s">
        <v>160</v>
      </c>
      <c r="B135" t="s">
        <v>36</v>
      </c>
      <c r="C135" t="s">
        <v>41</v>
      </c>
      <c r="D135" t="s">
        <v>32</v>
      </c>
      <c r="E135" t="s">
        <v>18</v>
      </c>
      <c r="F135">
        <v>7</v>
      </c>
      <c r="G135">
        <v>59235.13</v>
      </c>
      <c r="H135">
        <v>12</v>
      </c>
      <c r="I135">
        <v>42</v>
      </c>
      <c r="J135" t="s">
        <v>230</v>
      </c>
      <c r="K135" t="s">
        <v>231</v>
      </c>
      <c r="L135">
        <v>2</v>
      </c>
    </row>
    <row r="136" spans="1:12" x14ac:dyDescent="0.35">
      <c r="A136" t="s">
        <v>161</v>
      </c>
      <c r="B136" t="s">
        <v>10</v>
      </c>
      <c r="C136" t="s">
        <v>28</v>
      </c>
      <c r="D136" t="s">
        <v>32</v>
      </c>
      <c r="E136" t="s">
        <v>18</v>
      </c>
      <c r="F136">
        <v>38</v>
      </c>
      <c r="G136">
        <v>118022.05</v>
      </c>
      <c r="H136">
        <v>17</v>
      </c>
      <c r="I136">
        <v>79</v>
      </c>
      <c r="J136" t="s">
        <v>235</v>
      </c>
      <c r="K136" t="s">
        <v>237</v>
      </c>
      <c r="L136">
        <v>5</v>
      </c>
    </row>
    <row r="137" spans="1:12" x14ac:dyDescent="0.35">
      <c r="A137" t="s">
        <v>162</v>
      </c>
      <c r="B137" t="s">
        <v>25</v>
      </c>
      <c r="C137" t="s">
        <v>11</v>
      </c>
      <c r="D137" t="s">
        <v>26</v>
      </c>
      <c r="E137" t="s">
        <v>13</v>
      </c>
      <c r="F137">
        <v>49</v>
      </c>
      <c r="G137">
        <v>127750.62</v>
      </c>
      <c r="H137">
        <v>18</v>
      </c>
      <c r="I137">
        <v>60</v>
      </c>
      <c r="J137" t="s">
        <v>235</v>
      </c>
      <c r="K137" t="s">
        <v>233</v>
      </c>
      <c r="L137">
        <v>6</v>
      </c>
    </row>
    <row r="138" spans="1:12" x14ac:dyDescent="0.35">
      <c r="A138" t="s">
        <v>163</v>
      </c>
      <c r="B138" t="s">
        <v>15</v>
      </c>
      <c r="C138" t="s">
        <v>28</v>
      </c>
      <c r="D138" t="s">
        <v>17</v>
      </c>
      <c r="E138" t="s">
        <v>29</v>
      </c>
      <c r="F138">
        <v>27</v>
      </c>
      <c r="G138">
        <v>79666.86</v>
      </c>
      <c r="H138">
        <v>16</v>
      </c>
      <c r="I138">
        <v>85</v>
      </c>
      <c r="J138" t="s">
        <v>230</v>
      </c>
      <c r="K138" t="s">
        <v>236</v>
      </c>
      <c r="L138">
        <v>4</v>
      </c>
    </row>
    <row r="139" spans="1:12" x14ac:dyDescent="0.35">
      <c r="A139" t="s">
        <v>164</v>
      </c>
      <c r="B139" t="s">
        <v>22</v>
      </c>
      <c r="C139" t="s">
        <v>41</v>
      </c>
      <c r="D139" t="s">
        <v>12</v>
      </c>
      <c r="E139" t="s">
        <v>13</v>
      </c>
      <c r="F139">
        <v>65</v>
      </c>
      <c r="G139">
        <v>120956.04</v>
      </c>
      <c r="H139">
        <v>25</v>
      </c>
      <c r="I139">
        <v>95</v>
      </c>
      <c r="J139" t="s">
        <v>235</v>
      </c>
      <c r="K139" t="s">
        <v>238</v>
      </c>
      <c r="L139">
        <v>7</v>
      </c>
    </row>
    <row r="140" spans="1:12" x14ac:dyDescent="0.35">
      <c r="A140" t="s">
        <v>165</v>
      </c>
      <c r="B140" t="s">
        <v>10</v>
      </c>
      <c r="C140" t="s">
        <v>28</v>
      </c>
      <c r="D140" t="s">
        <v>26</v>
      </c>
      <c r="E140" t="s">
        <v>18</v>
      </c>
      <c r="F140">
        <v>58</v>
      </c>
      <c r="G140">
        <v>100338.81</v>
      </c>
      <c r="H140">
        <v>7</v>
      </c>
      <c r="I140">
        <v>59</v>
      </c>
      <c r="J140" t="s">
        <v>230</v>
      </c>
      <c r="K140" t="s">
        <v>233</v>
      </c>
      <c r="L140">
        <v>6</v>
      </c>
    </row>
    <row r="141" spans="1:12" x14ac:dyDescent="0.35">
      <c r="A141" t="s">
        <v>166</v>
      </c>
      <c r="B141" t="s">
        <v>31</v>
      </c>
      <c r="C141" t="s">
        <v>28</v>
      </c>
      <c r="D141" t="s">
        <v>12</v>
      </c>
      <c r="E141" t="s">
        <v>13</v>
      </c>
      <c r="F141">
        <v>22</v>
      </c>
      <c r="G141">
        <v>120621.62</v>
      </c>
      <c r="H141">
        <v>21</v>
      </c>
      <c r="I141">
        <v>74</v>
      </c>
      <c r="J141" t="s">
        <v>235</v>
      </c>
      <c r="K141" t="s">
        <v>236</v>
      </c>
      <c r="L141">
        <v>4</v>
      </c>
    </row>
    <row r="142" spans="1:12" x14ac:dyDescent="0.35">
      <c r="A142" t="s">
        <v>167</v>
      </c>
      <c r="B142" t="s">
        <v>10</v>
      </c>
      <c r="C142" t="s">
        <v>28</v>
      </c>
      <c r="D142" t="s">
        <v>23</v>
      </c>
      <c r="E142" t="s">
        <v>18</v>
      </c>
      <c r="F142">
        <v>10</v>
      </c>
      <c r="G142">
        <v>21143.75</v>
      </c>
      <c r="H142">
        <v>2</v>
      </c>
      <c r="I142">
        <v>42</v>
      </c>
      <c r="J142" t="s">
        <v>232</v>
      </c>
      <c r="K142" t="s">
        <v>231</v>
      </c>
      <c r="L142">
        <v>2</v>
      </c>
    </row>
    <row r="143" spans="1:12" x14ac:dyDescent="0.35">
      <c r="A143" t="s">
        <v>168</v>
      </c>
      <c r="B143" t="s">
        <v>31</v>
      </c>
      <c r="C143" t="s">
        <v>28</v>
      </c>
      <c r="D143" t="s">
        <v>32</v>
      </c>
      <c r="E143" t="s">
        <v>29</v>
      </c>
      <c r="F143">
        <v>37</v>
      </c>
      <c r="G143">
        <v>58168.06</v>
      </c>
      <c r="H143">
        <v>3</v>
      </c>
      <c r="I143">
        <v>84</v>
      </c>
      <c r="J143" t="s">
        <v>230</v>
      </c>
      <c r="K143" t="s">
        <v>237</v>
      </c>
      <c r="L143">
        <v>5</v>
      </c>
    </row>
    <row r="144" spans="1:12" x14ac:dyDescent="0.35">
      <c r="A144" t="s">
        <v>169</v>
      </c>
      <c r="B144" t="s">
        <v>15</v>
      </c>
      <c r="C144" t="s">
        <v>41</v>
      </c>
      <c r="D144" t="s">
        <v>32</v>
      </c>
      <c r="E144" t="s">
        <v>13</v>
      </c>
      <c r="F144">
        <v>57</v>
      </c>
      <c r="G144">
        <v>121600.57</v>
      </c>
      <c r="H144">
        <v>19</v>
      </c>
      <c r="I144">
        <v>94</v>
      </c>
      <c r="J144" t="s">
        <v>235</v>
      </c>
      <c r="K144" t="s">
        <v>233</v>
      </c>
      <c r="L144">
        <v>6</v>
      </c>
    </row>
    <row r="145" spans="1:12" x14ac:dyDescent="0.35">
      <c r="A145" t="s">
        <v>170</v>
      </c>
      <c r="B145" t="s">
        <v>25</v>
      </c>
      <c r="C145" t="s">
        <v>16</v>
      </c>
      <c r="D145" t="s">
        <v>26</v>
      </c>
      <c r="E145" t="s">
        <v>18</v>
      </c>
      <c r="F145">
        <v>26</v>
      </c>
      <c r="G145">
        <v>60409.31</v>
      </c>
      <c r="H145">
        <v>25</v>
      </c>
      <c r="I145">
        <v>94</v>
      </c>
      <c r="J145" t="s">
        <v>230</v>
      </c>
      <c r="K145" t="s">
        <v>236</v>
      </c>
      <c r="L145">
        <v>4</v>
      </c>
    </row>
    <row r="146" spans="1:12" x14ac:dyDescent="0.35">
      <c r="A146" t="s">
        <v>171</v>
      </c>
      <c r="B146" t="s">
        <v>10</v>
      </c>
      <c r="C146" t="s">
        <v>16</v>
      </c>
      <c r="D146" t="s">
        <v>23</v>
      </c>
      <c r="E146" t="s">
        <v>18</v>
      </c>
      <c r="F146">
        <v>51</v>
      </c>
      <c r="G146">
        <v>148766.01</v>
      </c>
      <c r="H146">
        <v>21</v>
      </c>
      <c r="I146">
        <v>76</v>
      </c>
      <c r="J146" t="s">
        <v>235</v>
      </c>
      <c r="K146" t="s">
        <v>233</v>
      </c>
      <c r="L146">
        <v>6</v>
      </c>
    </row>
    <row r="147" spans="1:12" x14ac:dyDescent="0.35">
      <c r="A147" t="s">
        <v>172</v>
      </c>
      <c r="B147" t="s">
        <v>10</v>
      </c>
      <c r="C147" t="s">
        <v>28</v>
      </c>
      <c r="D147" t="s">
        <v>26</v>
      </c>
      <c r="E147" t="s">
        <v>18</v>
      </c>
      <c r="F147">
        <v>1</v>
      </c>
      <c r="G147">
        <v>46211.03</v>
      </c>
      <c r="H147">
        <v>4</v>
      </c>
      <c r="I147">
        <v>97</v>
      </c>
      <c r="J147" t="s">
        <v>232</v>
      </c>
      <c r="K147" t="s">
        <v>240</v>
      </c>
      <c r="L147">
        <v>1</v>
      </c>
    </row>
    <row r="148" spans="1:12" x14ac:dyDescent="0.35">
      <c r="A148" t="s">
        <v>173</v>
      </c>
      <c r="B148" t="s">
        <v>36</v>
      </c>
      <c r="C148" t="s">
        <v>11</v>
      </c>
      <c r="D148" t="s">
        <v>26</v>
      </c>
      <c r="E148" t="s">
        <v>18</v>
      </c>
      <c r="F148">
        <v>61</v>
      </c>
      <c r="G148">
        <v>32781.94</v>
      </c>
      <c r="H148">
        <v>1</v>
      </c>
      <c r="I148">
        <v>83</v>
      </c>
      <c r="J148" t="s">
        <v>232</v>
      </c>
      <c r="K148" t="s">
        <v>238</v>
      </c>
      <c r="L148">
        <v>7</v>
      </c>
    </row>
    <row r="149" spans="1:12" x14ac:dyDescent="0.35">
      <c r="A149" t="s">
        <v>174</v>
      </c>
      <c r="B149" t="s">
        <v>36</v>
      </c>
      <c r="C149" t="s">
        <v>16</v>
      </c>
      <c r="D149" t="s">
        <v>17</v>
      </c>
      <c r="E149" t="s">
        <v>29</v>
      </c>
      <c r="F149">
        <v>34</v>
      </c>
      <c r="G149">
        <v>139264.72</v>
      </c>
      <c r="H149">
        <v>14</v>
      </c>
      <c r="I149">
        <v>72</v>
      </c>
      <c r="J149" t="s">
        <v>235</v>
      </c>
      <c r="K149" t="s">
        <v>237</v>
      </c>
      <c r="L149">
        <v>5</v>
      </c>
    </row>
    <row r="150" spans="1:12" x14ac:dyDescent="0.35">
      <c r="A150" t="s">
        <v>175</v>
      </c>
      <c r="B150" t="s">
        <v>15</v>
      </c>
      <c r="C150" t="s">
        <v>11</v>
      </c>
      <c r="D150" t="s">
        <v>32</v>
      </c>
      <c r="E150" t="s">
        <v>13</v>
      </c>
      <c r="F150">
        <v>78</v>
      </c>
      <c r="G150">
        <v>15165.98</v>
      </c>
      <c r="H150">
        <v>25</v>
      </c>
      <c r="I150">
        <v>86</v>
      </c>
      <c r="J150" t="s">
        <v>232</v>
      </c>
      <c r="K150" t="s">
        <v>234</v>
      </c>
      <c r="L150">
        <v>8</v>
      </c>
    </row>
    <row r="151" spans="1:12" x14ac:dyDescent="0.35">
      <c r="A151" t="s">
        <v>176</v>
      </c>
      <c r="B151" t="s">
        <v>10</v>
      </c>
      <c r="C151" t="s">
        <v>28</v>
      </c>
      <c r="D151" t="s">
        <v>17</v>
      </c>
      <c r="E151" t="s">
        <v>18</v>
      </c>
      <c r="F151">
        <v>73</v>
      </c>
      <c r="G151">
        <v>133910.69</v>
      </c>
      <c r="H151">
        <v>22</v>
      </c>
      <c r="I151">
        <v>87</v>
      </c>
      <c r="J151" t="s">
        <v>235</v>
      </c>
      <c r="K151" t="s">
        <v>238</v>
      </c>
      <c r="L151">
        <v>7</v>
      </c>
    </row>
    <row r="152" spans="1:12" x14ac:dyDescent="0.35">
      <c r="A152" t="s">
        <v>177</v>
      </c>
      <c r="B152" t="s">
        <v>25</v>
      </c>
      <c r="C152" t="s">
        <v>28</v>
      </c>
      <c r="D152" t="s">
        <v>12</v>
      </c>
      <c r="E152" t="s">
        <v>18</v>
      </c>
      <c r="F152">
        <v>8</v>
      </c>
      <c r="G152">
        <v>82835.539999999994</v>
      </c>
      <c r="H152">
        <v>24</v>
      </c>
      <c r="I152">
        <v>94</v>
      </c>
      <c r="J152" t="s">
        <v>230</v>
      </c>
      <c r="K152" t="s">
        <v>231</v>
      </c>
      <c r="L152">
        <v>2</v>
      </c>
    </row>
    <row r="153" spans="1:12" x14ac:dyDescent="0.35">
      <c r="A153" t="s">
        <v>178</v>
      </c>
      <c r="B153" t="s">
        <v>10</v>
      </c>
      <c r="C153" t="s">
        <v>16</v>
      </c>
      <c r="D153" t="s">
        <v>32</v>
      </c>
      <c r="E153" t="s">
        <v>18</v>
      </c>
      <c r="F153">
        <v>16</v>
      </c>
      <c r="G153">
        <v>109945.06</v>
      </c>
      <c r="H153">
        <v>23</v>
      </c>
      <c r="I153">
        <v>76</v>
      </c>
      <c r="J153" t="s">
        <v>235</v>
      </c>
      <c r="K153" t="s">
        <v>239</v>
      </c>
      <c r="L153">
        <v>3</v>
      </c>
    </row>
    <row r="154" spans="1:12" x14ac:dyDescent="0.35">
      <c r="A154" t="s">
        <v>179</v>
      </c>
      <c r="B154" t="s">
        <v>10</v>
      </c>
      <c r="C154" t="s">
        <v>16</v>
      </c>
      <c r="D154" t="s">
        <v>26</v>
      </c>
      <c r="E154" t="s">
        <v>29</v>
      </c>
      <c r="F154">
        <v>3</v>
      </c>
      <c r="G154">
        <v>40894.400000000001</v>
      </c>
      <c r="H154">
        <v>20</v>
      </c>
      <c r="I154">
        <v>46</v>
      </c>
      <c r="J154" t="s">
        <v>232</v>
      </c>
      <c r="K154" t="s">
        <v>240</v>
      </c>
      <c r="L154">
        <v>1</v>
      </c>
    </row>
    <row r="155" spans="1:12" x14ac:dyDescent="0.35">
      <c r="A155" t="s">
        <v>180</v>
      </c>
      <c r="B155" t="s">
        <v>10</v>
      </c>
      <c r="C155" t="s">
        <v>16</v>
      </c>
      <c r="D155" t="s">
        <v>26</v>
      </c>
      <c r="E155" t="s">
        <v>29</v>
      </c>
      <c r="F155">
        <v>28</v>
      </c>
      <c r="G155">
        <v>5522.04</v>
      </c>
      <c r="H155">
        <v>20</v>
      </c>
      <c r="I155">
        <v>95</v>
      </c>
      <c r="J155" t="s">
        <v>232</v>
      </c>
      <c r="K155" t="s">
        <v>236</v>
      </c>
      <c r="L155">
        <v>4</v>
      </c>
    </row>
    <row r="156" spans="1:12" x14ac:dyDescent="0.35">
      <c r="A156" t="s">
        <v>181</v>
      </c>
      <c r="B156" t="s">
        <v>22</v>
      </c>
      <c r="C156" t="s">
        <v>41</v>
      </c>
      <c r="D156" t="s">
        <v>26</v>
      </c>
      <c r="E156" t="s">
        <v>18</v>
      </c>
      <c r="F156">
        <v>38</v>
      </c>
      <c r="G156">
        <v>121567.96</v>
      </c>
      <c r="H156">
        <v>26</v>
      </c>
      <c r="I156">
        <v>65</v>
      </c>
      <c r="J156" t="s">
        <v>235</v>
      </c>
      <c r="K156" t="s">
        <v>237</v>
      </c>
      <c r="L156">
        <v>5</v>
      </c>
    </row>
    <row r="157" spans="1:12" x14ac:dyDescent="0.35">
      <c r="A157" t="s">
        <v>182</v>
      </c>
      <c r="B157" t="s">
        <v>10</v>
      </c>
      <c r="C157" t="s">
        <v>41</v>
      </c>
      <c r="D157" t="s">
        <v>32</v>
      </c>
      <c r="E157" t="s">
        <v>13</v>
      </c>
      <c r="F157">
        <v>2</v>
      </c>
      <c r="G157">
        <v>14606.74</v>
      </c>
      <c r="H157">
        <v>30</v>
      </c>
      <c r="I157">
        <v>75</v>
      </c>
      <c r="J157" t="s">
        <v>232</v>
      </c>
      <c r="K157" t="s">
        <v>240</v>
      </c>
      <c r="L157">
        <v>1</v>
      </c>
    </row>
    <row r="158" spans="1:12" x14ac:dyDescent="0.35">
      <c r="A158" t="s">
        <v>183</v>
      </c>
      <c r="B158" t="s">
        <v>15</v>
      </c>
      <c r="C158" t="s">
        <v>28</v>
      </c>
      <c r="D158" t="s">
        <v>23</v>
      </c>
      <c r="E158" t="s">
        <v>18</v>
      </c>
      <c r="F158">
        <v>6</v>
      </c>
      <c r="G158">
        <v>116568.72</v>
      </c>
      <c r="H158">
        <v>24</v>
      </c>
      <c r="I158">
        <v>65</v>
      </c>
      <c r="J158" t="s">
        <v>235</v>
      </c>
      <c r="K158" t="s">
        <v>231</v>
      </c>
      <c r="L158">
        <v>2</v>
      </c>
    </row>
    <row r="159" spans="1:12" x14ac:dyDescent="0.35">
      <c r="A159" t="s">
        <v>184</v>
      </c>
      <c r="B159" t="s">
        <v>25</v>
      </c>
      <c r="C159" t="s">
        <v>16</v>
      </c>
      <c r="D159" t="s">
        <v>32</v>
      </c>
      <c r="E159" t="s">
        <v>18</v>
      </c>
      <c r="F159">
        <v>33</v>
      </c>
      <c r="G159">
        <v>70189.8</v>
      </c>
      <c r="H159">
        <v>14</v>
      </c>
      <c r="I159">
        <v>88</v>
      </c>
      <c r="J159" t="s">
        <v>230</v>
      </c>
      <c r="K159" t="s">
        <v>237</v>
      </c>
      <c r="L159">
        <v>5</v>
      </c>
    </row>
    <row r="160" spans="1:12" x14ac:dyDescent="0.35">
      <c r="A160" t="s">
        <v>185</v>
      </c>
      <c r="B160" t="s">
        <v>36</v>
      </c>
      <c r="C160" t="s">
        <v>16</v>
      </c>
      <c r="D160" t="s">
        <v>26</v>
      </c>
      <c r="E160" t="s">
        <v>29</v>
      </c>
      <c r="F160">
        <v>28</v>
      </c>
      <c r="G160">
        <v>136392.39000000001</v>
      </c>
      <c r="H160">
        <v>22</v>
      </c>
      <c r="I160">
        <v>77</v>
      </c>
      <c r="J160" t="s">
        <v>235</v>
      </c>
      <c r="K160" t="s">
        <v>236</v>
      </c>
      <c r="L160">
        <v>4</v>
      </c>
    </row>
    <row r="161" spans="1:12" x14ac:dyDescent="0.35">
      <c r="A161" t="s">
        <v>186</v>
      </c>
      <c r="B161" t="s">
        <v>36</v>
      </c>
      <c r="C161" t="s">
        <v>41</v>
      </c>
      <c r="D161" t="s">
        <v>26</v>
      </c>
      <c r="E161" t="s">
        <v>29</v>
      </c>
      <c r="F161">
        <v>56</v>
      </c>
      <c r="G161">
        <v>139281.34</v>
      </c>
      <c r="H161">
        <v>24</v>
      </c>
      <c r="I161">
        <v>96</v>
      </c>
      <c r="J161" t="s">
        <v>235</v>
      </c>
      <c r="K161" t="s">
        <v>233</v>
      </c>
      <c r="L161">
        <v>6</v>
      </c>
    </row>
    <row r="162" spans="1:12" x14ac:dyDescent="0.35">
      <c r="A162" t="s">
        <v>187</v>
      </c>
      <c r="B162" t="s">
        <v>15</v>
      </c>
      <c r="C162" t="s">
        <v>11</v>
      </c>
      <c r="D162" t="s">
        <v>26</v>
      </c>
      <c r="E162" t="s">
        <v>18</v>
      </c>
      <c r="F162">
        <v>80</v>
      </c>
      <c r="G162">
        <v>140818.37</v>
      </c>
      <c r="H162">
        <v>9</v>
      </c>
      <c r="I162">
        <v>42</v>
      </c>
      <c r="J162" t="s">
        <v>235</v>
      </c>
      <c r="K162" t="s">
        <v>234</v>
      </c>
      <c r="L162">
        <v>8</v>
      </c>
    </row>
    <row r="163" spans="1:12" x14ac:dyDescent="0.35">
      <c r="A163" t="s">
        <v>188</v>
      </c>
      <c r="B163" t="s">
        <v>31</v>
      </c>
      <c r="C163" t="s">
        <v>41</v>
      </c>
      <c r="D163" t="s">
        <v>17</v>
      </c>
      <c r="E163" t="s">
        <v>18</v>
      </c>
      <c r="F163">
        <v>74</v>
      </c>
      <c r="G163">
        <v>56018.43</v>
      </c>
      <c r="H163">
        <v>7</v>
      </c>
      <c r="I163">
        <v>77</v>
      </c>
      <c r="J163" t="s">
        <v>230</v>
      </c>
      <c r="K163" t="s">
        <v>238</v>
      </c>
      <c r="L163">
        <v>7</v>
      </c>
    </row>
    <row r="164" spans="1:12" x14ac:dyDescent="0.35">
      <c r="A164" t="s">
        <v>189</v>
      </c>
      <c r="B164" t="s">
        <v>22</v>
      </c>
      <c r="C164" t="s">
        <v>41</v>
      </c>
      <c r="D164" t="s">
        <v>32</v>
      </c>
      <c r="E164" t="s">
        <v>29</v>
      </c>
      <c r="F164">
        <v>72</v>
      </c>
      <c r="G164">
        <v>144841.74</v>
      </c>
      <c r="H164">
        <v>5</v>
      </c>
      <c r="I164">
        <v>57</v>
      </c>
      <c r="J164" t="s">
        <v>235</v>
      </c>
      <c r="K164" t="s">
        <v>238</v>
      </c>
      <c r="L164">
        <v>7</v>
      </c>
    </row>
    <row r="165" spans="1:12" x14ac:dyDescent="0.35">
      <c r="A165" t="s">
        <v>190</v>
      </c>
      <c r="B165" t="s">
        <v>31</v>
      </c>
      <c r="C165" t="s">
        <v>11</v>
      </c>
      <c r="D165" t="s">
        <v>23</v>
      </c>
      <c r="E165" t="s">
        <v>18</v>
      </c>
      <c r="F165">
        <v>14</v>
      </c>
      <c r="G165">
        <v>123398.79</v>
      </c>
      <c r="H165">
        <v>21</v>
      </c>
      <c r="I165">
        <v>77</v>
      </c>
      <c r="J165" t="s">
        <v>235</v>
      </c>
      <c r="K165" t="s">
        <v>239</v>
      </c>
      <c r="L165">
        <v>3</v>
      </c>
    </row>
    <row r="166" spans="1:12" x14ac:dyDescent="0.35">
      <c r="A166" t="s">
        <v>191</v>
      </c>
      <c r="B166" t="s">
        <v>15</v>
      </c>
      <c r="C166" t="s">
        <v>41</v>
      </c>
      <c r="D166" t="s">
        <v>32</v>
      </c>
      <c r="E166" t="s">
        <v>18</v>
      </c>
      <c r="F166">
        <v>48</v>
      </c>
      <c r="G166">
        <v>10911.55</v>
      </c>
      <c r="H166">
        <v>19</v>
      </c>
      <c r="I166">
        <v>47</v>
      </c>
      <c r="J166" t="s">
        <v>232</v>
      </c>
      <c r="K166" t="s">
        <v>233</v>
      </c>
      <c r="L166">
        <v>6</v>
      </c>
    </row>
    <row r="167" spans="1:12" x14ac:dyDescent="0.35">
      <c r="A167" t="s">
        <v>192</v>
      </c>
      <c r="B167" t="s">
        <v>36</v>
      </c>
      <c r="C167" t="s">
        <v>16</v>
      </c>
      <c r="D167" t="s">
        <v>32</v>
      </c>
      <c r="E167" t="s">
        <v>13</v>
      </c>
      <c r="F167">
        <v>87</v>
      </c>
      <c r="G167">
        <v>96532.96</v>
      </c>
      <c r="H167">
        <v>7</v>
      </c>
      <c r="I167">
        <v>93</v>
      </c>
      <c r="J167" t="s">
        <v>230</v>
      </c>
      <c r="K167" t="s">
        <v>234</v>
      </c>
      <c r="L167">
        <v>8</v>
      </c>
    </row>
    <row r="168" spans="1:12" x14ac:dyDescent="0.35">
      <c r="A168" t="s">
        <v>193</v>
      </c>
      <c r="B168" t="s">
        <v>15</v>
      </c>
      <c r="C168" t="s">
        <v>41</v>
      </c>
      <c r="D168" t="s">
        <v>32</v>
      </c>
      <c r="E168" t="s">
        <v>29</v>
      </c>
      <c r="F168">
        <v>49</v>
      </c>
      <c r="G168">
        <v>126056.09</v>
      </c>
      <c r="H168">
        <v>11</v>
      </c>
      <c r="I168">
        <v>78</v>
      </c>
      <c r="J168" t="s">
        <v>235</v>
      </c>
      <c r="K168" t="s">
        <v>233</v>
      </c>
      <c r="L168">
        <v>6</v>
      </c>
    </row>
    <row r="169" spans="1:12" x14ac:dyDescent="0.35">
      <c r="A169" t="s">
        <v>194</v>
      </c>
      <c r="B169" t="s">
        <v>36</v>
      </c>
      <c r="C169" t="s">
        <v>41</v>
      </c>
      <c r="D169" t="s">
        <v>32</v>
      </c>
      <c r="E169" t="s">
        <v>29</v>
      </c>
      <c r="F169">
        <v>42</v>
      </c>
      <c r="G169">
        <v>92788.13</v>
      </c>
      <c r="H169">
        <v>4</v>
      </c>
      <c r="I169">
        <v>41</v>
      </c>
      <c r="J169" t="s">
        <v>230</v>
      </c>
      <c r="K169" t="s">
        <v>237</v>
      </c>
      <c r="L169">
        <v>5</v>
      </c>
    </row>
    <row r="170" spans="1:12" x14ac:dyDescent="0.35">
      <c r="A170" t="s">
        <v>195</v>
      </c>
      <c r="B170" t="s">
        <v>15</v>
      </c>
      <c r="C170" t="s">
        <v>11</v>
      </c>
      <c r="D170" t="s">
        <v>26</v>
      </c>
      <c r="E170" t="s">
        <v>18</v>
      </c>
      <c r="F170">
        <v>36</v>
      </c>
      <c r="G170">
        <v>24614.639999999999</v>
      </c>
      <c r="H170">
        <v>30</v>
      </c>
      <c r="I170">
        <v>57</v>
      </c>
      <c r="J170" t="s">
        <v>232</v>
      </c>
      <c r="K170" t="s">
        <v>237</v>
      </c>
      <c r="L170">
        <v>5</v>
      </c>
    </row>
    <row r="171" spans="1:12" x14ac:dyDescent="0.35">
      <c r="A171" t="s">
        <v>196</v>
      </c>
      <c r="B171" t="s">
        <v>31</v>
      </c>
      <c r="C171" t="s">
        <v>11</v>
      </c>
      <c r="D171" t="s">
        <v>12</v>
      </c>
      <c r="E171" t="s">
        <v>29</v>
      </c>
      <c r="F171">
        <v>56</v>
      </c>
      <c r="G171">
        <v>36862.400000000001</v>
      </c>
      <c r="H171">
        <v>28</v>
      </c>
      <c r="I171">
        <v>66</v>
      </c>
      <c r="J171" t="s">
        <v>232</v>
      </c>
      <c r="K171" t="s">
        <v>233</v>
      </c>
      <c r="L171">
        <v>6</v>
      </c>
    </row>
    <row r="172" spans="1:12" x14ac:dyDescent="0.35">
      <c r="A172" t="s">
        <v>197</v>
      </c>
      <c r="B172" t="s">
        <v>10</v>
      </c>
      <c r="C172" t="s">
        <v>16</v>
      </c>
      <c r="D172" t="s">
        <v>12</v>
      </c>
      <c r="E172" t="s">
        <v>18</v>
      </c>
      <c r="F172">
        <v>39</v>
      </c>
      <c r="G172">
        <v>84065.42</v>
      </c>
      <c r="H172">
        <v>28</v>
      </c>
      <c r="I172">
        <v>50</v>
      </c>
      <c r="J172" t="s">
        <v>230</v>
      </c>
      <c r="K172" t="s">
        <v>237</v>
      </c>
      <c r="L172">
        <v>5</v>
      </c>
    </row>
    <row r="173" spans="1:12" x14ac:dyDescent="0.35">
      <c r="A173" t="s">
        <v>198</v>
      </c>
      <c r="B173" t="s">
        <v>10</v>
      </c>
      <c r="C173" t="s">
        <v>41</v>
      </c>
      <c r="D173" t="s">
        <v>12</v>
      </c>
      <c r="E173" t="s">
        <v>29</v>
      </c>
      <c r="F173">
        <v>42</v>
      </c>
      <c r="G173">
        <v>83047.11</v>
      </c>
      <c r="H173">
        <v>13</v>
      </c>
      <c r="I173">
        <v>50</v>
      </c>
      <c r="J173" t="s">
        <v>230</v>
      </c>
      <c r="K173" t="s">
        <v>237</v>
      </c>
      <c r="L173">
        <v>5</v>
      </c>
    </row>
    <row r="174" spans="1:12" x14ac:dyDescent="0.35">
      <c r="A174" t="s">
        <v>199</v>
      </c>
      <c r="B174" t="s">
        <v>10</v>
      </c>
      <c r="C174" t="s">
        <v>11</v>
      </c>
      <c r="D174" t="s">
        <v>26</v>
      </c>
      <c r="E174" t="s">
        <v>29</v>
      </c>
      <c r="F174">
        <v>59</v>
      </c>
      <c r="G174">
        <v>96326.11</v>
      </c>
      <c r="H174">
        <v>17</v>
      </c>
      <c r="I174">
        <v>82</v>
      </c>
      <c r="J174" t="s">
        <v>230</v>
      </c>
      <c r="K174" t="s">
        <v>233</v>
      </c>
      <c r="L174">
        <v>6</v>
      </c>
    </row>
    <row r="175" spans="1:12" x14ac:dyDescent="0.35">
      <c r="A175" t="s">
        <v>200</v>
      </c>
      <c r="B175" t="s">
        <v>36</v>
      </c>
      <c r="C175" t="s">
        <v>41</v>
      </c>
      <c r="D175" t="s">
        <v>12</v>
      </c>
      <c r="E175" t="s">
        <v>18</v>
      </c>
      <c r="F175">
        <v>67</v>
      </c>
      <c r="G175">
        <v>49487.73</v>
      </c>
      <c r="H175">
        <v>27</v>
      </c>
      <c r="I175">
        <v>72</v>
      </c>
      <c r="J175" t="s">
        <v>232</v>
      </c>
      <c r="K175" t="s">
        <v>238</v>
      </c>
      <c r="L175">
        <v>7</v>
      </c>
    </row>
    <row r="176" spans="1:12" x14ac:dyDescent="0.35">
      <c r="A176" t="s">
        <v>201</v>
      </c>
      <c r="B176" t="s">
        <v>10</v>
      </c>
      <c r="C176" t="s">
        <v>41</v>
      </c>
      <c r="D176" t="s">
        <v>17</v>
      </c>
      <c r="E176" t="s">
        <v>18</v>
      </c>
      <c r="F176">
        <v>11</v>
      </c>
      <c r="G176">
        <v>18263.25</v>
      </c>
      <c r="H176">
        <v>29</v>
      </c>
      <c r="I176">
        <v>83</v>
      </c>
      <c r="J176" t="s">
        <v>232</v>
      </c>
      <c r="K176" t="s">
        <v>231</v>
      </c>
      <c r="L176">
        <v>2</v>
      </c>
    </row>
    <row r="177" spans="1:12" x14ac:dyDescent="0.35">
      <c r="A177" t="s">
        <v>202</v>
      </c>
      <c r="B177" t="s">
        <v>31</v>
      </c>
      <c r="C177" t="s">
        <v>28</v>
      </c>
      <c r="D177" t="s">
        <v>12</v>
      </c>
      <c r="E177" t="s">
        <v>13</v>
      </c>
      <c r="F177">
        <v>3</v>
      </c>
      <c r="G177">
        <v>149013.84</v>
      </c>
      <c r="H177">
        <v>26</v>
      </c>
      <c r="I177">
        <v>93</v>
      </c>
      <c r="J177" t="s">
        <v>235</v>
      </c>
      <c r="K177" t="s">
        <v>240</v>
      </c>
      <c r="L177">
        <v>1</v>
      </c>
    </row>
    <row r="178" spans="1:12" x14ac:dyDescent="0.35">
      <c r="A178" t="s">
        <v>203</v>
      </c>
      <c r="B178" t="s">
        <v>22</v>
      </c>
      <c r="C178" t="s">
        <v>16</v>
      </c>
      <c r="D178" t="s">
        <v>26</v>
      </c>
      <c r="E178" t="s">
        <v>29</v>
      </c>
      <c r="F178">
        <v>69</v>
      </c>
      <c r="G178">
        <v>46708.35</v>
      </c>
      <c r="H178">
        <v>1</v>
      </c>
      <c r="I178">
        <v>88</v>
      </c>
      <c r="J178" t="s">
        <v>232</v>
      </c>
      <c r="K178" t="s">
        <v>238</v>
      </c>
      <c r="L178">
        <v>7</v>
      </c>
    </row>
    <row r="179" spans="1:12" x14ac:dyDescent="0.35">
      <c r="A179" t="s">
        <v>204</v>
      </c>
      <c r="B179" t="s">
        <v>25</v>
      </c>
      <c r="C179" t="s">
        <v>11</v>
      </c>
      <c r="D179" t="s">
        <v>17</v>
      </c>
      <c r="E179" t="s">
        <v>18</v>
      </c>
      <c r="F179">
        <v>54</v>
      </c>
      <c r="G179">
        <v>68133.7</v>
      </c>
      <c r="H179">
        <v>9</v>
      </c>
      <c r="I179">
        <v>60</v>
      </c>
      <c r="J179" t="s">
        <v>230</v>
      </c>
      <c r="K179" t="s">
        <v>233</v>
      </c>
      <c r="L179">
        <v>6</v>
      </c>
    </row>
    <row r="180" spans="1:12" x14ac:dyDescent="0.35">
      <c r="A180" t="s">
        <v>205</v>
      </c>
      <c r="B180" t="s">
        <v>36</v>
      </c>
      <c r="C180" t="s">
        <v>28</v>
      </c>
      <c r="D180" t="s">
        <v>12</v>
      </c>
      <c r="E180" t="s">
        <v>18</v>
      </c>
      <c r="F180">
        <v>82</v>
      </c>
      <c r="G180">
        <v>19213.509999999998</v>
      </c>
      <c r="H180">
        <v>26</v>
      </c>
      <c r="I180">
        <v>96</v>
      </c>
      <c r="J180" t="s">
        <v>232</v>
      </c>
      <c r="K180" t="s">
        <v>234</v>
      </c>
      <c r="L180">
        <v>8</v>
      </c>
    </row>
    <row r="181" spans="1:12" x14ac:dyDescent="0.35">
      <c r="A181" t="s">
        <v>206</v>
      </c>
      <c r="B181" t="s">
        <v>25</v>
      </c>
      <c r="C181" t="s">
        <v>41</v>
      </c>
      <c r="D181" t="s">
        <v>26</v>
      </c>
      <c r="E181" t="s">
        <v>18</v>
      </c>
      <c r="F181">
        <v>60</v>
      </c>
      <c r="G181">
        <v>22138.22</v>
      </c>
      <c r="H181">
        <v>3</v>
      </c>
      <c r="I181">
        <v>96</v>
      </c>
      <c r="J181" t="s">
        <v>232</v>
      </c>
      <c r="K181" t="s">
        <v>238</v>
      </c>
      <c r="L181">
        <v>7</v>
      </c>
    </row>
    <row r="182" spans="1:12" x14ac:dyDescent="0.35">
      <c r="A182" t="s">
        <v>207</v>
      </c>
      <c r="B182" t="s">
        <v>22</v>
      </c>
      <c r="C182" t="s">
        <v>16</v>
      </c>
      <c r="D182" t="s">
        <v>17</v>
      </c>
      <c r="E182" t="s">
        <v>18</v>
      </c>
      <c r="F182">
        <v>65</v>
      </c>
      <c r="G182">
        <v>30460.26</v>
      </c>
      <c r="H182">
        <v>21</v>
      </c>
      <c r="I182">
        <v>63</v>
      </c>
      <c r="J182" t="s">
        <v>232</v>
      </c>
      <c r="K182" t="s">
        <v>238</v>
      </c>
      <c r="L182">
        <v>7</v>
      </c>
    </row>
    <row r="183" spans="1:12" x14ac:dyDescent="0.35">
      <c r="A183" t="s">
        <v>208</v>
      </c>
      <c r="B183" t="s">
        <v>15</v>
      </c>
      <c r="C183" t="s">
        <v>28</v>
      </c>
      <c r="D183" t="s">
        <v>23</v>
      </c>
      <c r="E183" t="s">
        <v>18</v>
      </c>
      <c r="F183">
        <v>5</v>
      </c>
      <c r="G183">
        <v>52772.62</v>
      </c>
      <c r="H183">
        <v>9</v>
      </c>
      <c r="I183">
        <v>62</v>
      </c>
      <c r="J183" t="s">
        <v>232</v>
      </c>
      <c r="K183" t="s">
        <v>240</v>
      </c>
      <c r="L183">
        <v>1</v>
      </c>
    </row>
    <row r="184" spans="1:12" x14ac:dyDescent="0.35">
      <c r="A184" t="s">
        <v>209</v>
      </c>
      <c r="B184" t="s">
        <v>22</v>
      </c>
      <c r="C184" t="s">
        <v>28</v>
      </c>
      <c r="D184" t="s">
        <v>17</v>
      </c>
      <c r="E184" t="s">
        <v>18</v>
      </c>
      <c r="F184">
        <v>54</v>
      </c>
      <c r="G184">
        <v>118241.71</v>
      </c>
      <c r="H184">
        <v>24</v>
      </c>
      <c r="I184">
        <v>81</v>
      </c>
      <c r="J184" t="s">
        <v>235</v>
      </c>
      <c r="K184" t="s">
        <v>233</v>
      </c>
      <c r="L184">
        <v>6</v>
      </c>
    </row>
    <row r="185" spans="1:12" x14ac:dyDescent="0.35">
      <c r="A185" t="s">
        <v>210</v>
      </c>
      <c r="B185" t="s">
        <v>10</v>
      </c>
      <c r="C185" t="s">
        <v>16</v>
      </c>
      <c r="D185" t="s">
        <v>32</v>
      </c>
      <c r="E185" t="s">
        <v>18</v>
      </c>
      <c r="F185">
        <v>64</v>
      </c>
      <c r="G185">
        <v>19477.689999999999</v>
      </c>
      <c r="H185">
        <v>6</v>
      </c>
      <c r="I185">
        <v>65</v>
      </c>
      <c r="J185" t="s">
        <v>232</v>
      </c>
      <c r="K185" t="s">
        <v>238</v>
      </c>
      <c r="L185">
        <v>7</v>
      </c>
    </row>
    <row r="186" spans="1:12" x14ac:dyDescent="0.35">
      <c r="A186" t="s">
        <v>211</v>
      </c>
      <c r="B186" t="s">
        <v>36</v>
      </c>
      <c r="C186" t="s">
        <v>28</v>
      </c>
      <c r="D186" t="s">
        <v>23</v>
      </c>
      <c r="E186" t="s">
        <v>13</v>
      </c>
      <c r="F186">
        <v>77</v>
      </c>
      <c r="G186">
        <v>114541.22</v>
      </c>
      <c r="H186">
        <v>25</v>
      </c>
      <c r="I186">
        <v>69</v>
      </c>
      <c r="J186" t="s">
        <v>235</v>
      </c>
      <c r="K186" t="s">
        <v>234</v>
      </c>
      <c r="L186">
        <v>8</v>
      </c>
    </row>
    <row r="187" spans="1:12" x14ac:dyDescent="0.35">
      <c r="A187" t="s">
        <v>212</v>
      </c>
      <c r="B187" t="s">
        <v>36</v>
      </c>
      <c r="C187" t="s">
        <v>11</v>
      </c>
      <c r="D187" t="s">
        <v>26</v>
      </c>
      <c r="E187" t="s">
        <v>13</v>
      </c>
      <c r="F187">
        <v>72</v>
      </c>
      <c r="G187">
        <v>56437.97</v>
      </c>
      <c r="H187">
        <v>21</v>
      </c>
      <c r="I187">
        <v>78</v>
      </c>
      <c r="J187" t="s">
        <v>230</v>
      </c>
      <c r="K187" t="s">
        <v>238</v>
      </c>
      <c r="L187">
        <v>7</v>
      </c>
    </row>
    <row r="188" spans="1:12" x14ac:dyDescent="0.35">
      <c r="A188" t="s">
        <v>213</v>
      </c>
      <c r="B188" t="s">
        <v>31</v>
      </c>
      <c r="C188" t="s">
        <v>16</v>
      </c>
      <c r="D188" t="s">
        <v>17</v>
      </c>
      <c r="E188" t="s">
        <v>18</v>
      </c>
      <c r="F188">
        <v>86</v>
      </c>
      <c r="G188">
        <v>53586.34</v>
      </c>
      <c r="H188">
        <v>22</v>
      </c>
      <c r="I188">
        <v>96</v>
      </c>
      <c r="J188" t="s">
        <v>230</v>
      </c>
      <c r="K188" t="s">
        <v>234</v>
      </c>
      <c r="L188">
        <v>8</v>
      </c>
    </row>
    <row r="189" spans="1:12" x14ac:dyDescent="0.35">
      <c r="A189" t="s">
        <v>214</v>
      </c>
      <c r="B189" t="s">
        <v>10</v>
      </c>
      <c r="C189" t="s">
        <v>41</v>
      </c>
      <c r="D189" t="s">
        <v>17</v>
      </c>
      <c r="E189" t="s">
        <v>13</v>
      </c>
      <c r="F189">
        <v>62</v>
      </c>
      <c r="G189">
        <v>13836.03</v>
      </c>
      <c r="H189">
        <v>15</v>
      </c>
      <c r="I189">
        <v>60</v>
      </c>
      <c r="J189" t="s">
        <v>232</v>
      </c>
      <c r="K189" t="s">
        <v>238</v>
      </c>
      <c r="L189">
        <v>7</v>
      </c>
    </row>
    <row r="190" spans="1:12" x14ac:dyDescent="0.35">
      <c r="A190" t="s">
        <v>215</v>
      </c>
      <c r="B190" t="s">
        <v>15</v>
      </c>
      <c r="C190" t="s">
        <v>28</v>
      </c>
      <c r="D190" t="s">
        <v>23</v>
      </c>
      <c r="E190" t="s">
        <v>18</v>
      </c>
      <c r="F190">
        <v>38</v>
      </c>
      <c r="G190">
        <v>54960.36</v>
      </c>
      <c r="H190">
        <v>26</v>
      </c>
      <c r="I190">
        <v>61</v>
      </c>
      <c r="J190" t="s">
        <v>230</v>
      </c>
      <c r="K190" t="s">
        <v>237</v>
      </c>
      <c r="L190">
        <v>5</v>
      </c>
    </row>
    <row r="191" spans="1:12" x14ac:dyDescent="0.35">
      <c r="A191" t="s">
        <v>216</v>
      </c>
      <c r="B191" t="s">
        <v>15</v>
      </c>
      <c r="C191" t="s">
        <v>16</v>
      </c>
      <c r="D191" t="s">
        <v>32</v>
      </c>
      <c r="E191" t="s">
        <v>13</v>
      </c>
      <c r="F191">
        <v>70</v>
      </c>
      <c r="G191">
        <v>92629.07</v>
      </c>
      <c r="H191">
        <v>11</v>
      </c>
      <c r="I191">
        <v>96</v>
      </c>
      <c r="J191" t="s">
        <v>230</v>
      </c>
      <c r="K191" t="s">
        <v>238</v>
      </c>
      <c r="L191">
        <v>7</v>
      </c>
    </row>
    <row r="192" spans="1:12" x14ac:dyDescent="0.35">
      <c r="A192" t="s">
        <v>217</v>
      </c>
      <c r="B192" t="s">
        <v>25</v>
      </c>
      <c r="C192" t="s">
        <v>41</v>
      </c>
      <c r="D192" t="s">
        <v>32</v>
      </c>
      <c r="E192" t="s">
        <v>29</v>
      </c>
      <c r="F192">
        <v>52</v>
      </c>
      <c r="G192">
        <v>69945.08</v>
      </c>
      <c r="H192">
        <v>8</v>
      </c>
      <c r="I192">
        <v>80</v>
      </c>
      <c r="J192" t="s">
        <v>230</v>
      </c>
      <c r="K192" t="s">
        <v>233</v>
      </c>
      <c r="L192">
        <v>6</v>
      </c>
    </row>
    <row r="193" spans="1:12" x14ac:dyDescent="0.35">
      <c r="A193" t="s">
        <v>218</v>
      </c>
      <c r="B193" t="s">
        <v>22</v>
      </c>
      <c r="C193" t="s">
        <v>16</v>
      </c>
      <c r="D193" t="s">
        <v>12</v>
      </c>
      <c r="E193" t="s">
        <v>13</v>
      </c>
      <c r="F193">
        <v>62</v>
      </c>
      <c r="G193">
        <v>132120.79</v>
      </c>
      <c r="H193">
        <v>25</v>
      </c>
      <c r="I193">
        <v>81</v>
      </c>
      <c r="J193" t="s">
        <v>235</v>
      </c>
      <c r="K193" t="s">
        <v>238</v>
      </c>
      <c r="L193">
        <v>7</v>
      </c>
    </row>
    <row r="194" spans="1:12" x14ac:dyDescent="0.35">
      <c r="A194" t="s">
        <v>219</v>
      </c>
      <c r="B194" t="s">
        <v>22</v>
      </c>
      <c r="C194" t="s">
        <v>16</v>
      </c>
      <c r="D194" t="s">
        <v>26</v>
      </c>
      <c r="E194" t="s">
        <v>18</v>
      </c>
      <c r="F194">
        <v>22</v>
      </c>
      <c r="G194">
        <v>132726.88</v>
      </c>
      <c r="H194">
        <v>24</v>
      </c>
      <c r="I194">
        <v>54</v>
      </c>
      <c r="J194" t="s">
        <v>235</v>
      </c>
      <c r="K194" t="s">
        <v>236</v>
      </c>
      <c r="L194">
        <v>4</v>
      </c>
    </row>
    <row r="195" spans="1:12" x14ac:dyDescent="0.35">
      <c r="A195" t="s">
        <v>220</v>
      </c>
      <c r="B195" t="s">
        <v>10</v>
      </c>
      <c r="C195" t="s">
        <v>16</v>
      </c>
      <c r="D195" t="s">
        <v>17</v>
      </c>
      <c r="E195" t="s">
        <v>29</v>
      </c>
      <c r="F195">
        <v>70</v>
      </c>
      <c r="G195">
        <v>40806.769999999997</v>
      </c>
      <c r="H195">
        <v>1</v>
      </c>
      <c r="I195">
        <v>51</v>
      </c>
      <c r="J195" t="s">
        <v>232</v>
      </c>
      <c r="K195" t="s">
        <v>238</v>
      </c>
      <c r="L195">
        <v>7</v>
      </c>
    </row>
    <row r="196" spans="1:12" x14ac:dyDescent="0.35">
      <c r="A196" t="s">
        <v>221</v>
      </c>
      <c r="B196" t="s">
        <v>25</v>
      </c>
      <c r="C196" t="s">
        <v>41</v>
      </c>
      <c r="D196" t="s">
        <v>32</v>
      </c>
      <c r="E196" t="s">
        <v>13</v>
      </c>
      <c r="F196">
        <v>33</v>
      </c>
      <c r="G196">
        <v>56926.38</v>
      </c>
      <c r="H196">
        <v>11</v>
      </c>
      <c r="I196">
        <v>81</v>
      </c>
      <c r="J196" t="s">
        <v>230</v>
      </c>
      <c r="K196" t="s">
        <v>237</v>
      </c>
      <c r="L196">
        <v>5</v>
      </c>
    </row>
    <row r="197" spans="1:12" x14ac:dyDescent="0.35">
      <c r="A197" t="s">
        <v>222</v>
      </c>
      <c r="B197" t="s">
        <v>22</v>
      </c>
      <c r="C197" t="s">
        <v>16</v>
      </c>
      <c r="D197" t="s">
        <v>32</v>
      </c>
      <c r="E197" t="s">
        <v>29</v>
      </c>
      <c r="F197">
        <v>1</v>
      </c>
      <c r="G197">
        <v>87386.12</v>
      </c>
      <c r="H197">
        <v>14</v>
      </c>
      <c r="I197">
        <v>63</v>
      </c>
      <c r="J197" t="s">
        <v>230</v>
      </c>
      <c r="K197" t="s">
        <v>240</v>
      </c>
      <c r="L197">
        <v>1</v>
      </c>
    </row>
    <row r="198" spans="1:12" x14ac:dyDescent="0.35">
      <c r="A198" t="s">
        <v>223</v>
      </c>
      <c r="B198" t="s">
        <v>22</v>
      </c>
      <c r="C198" t="s">
        <v>28</v>
      </c>
      <c r="D198" t="s">
        <v>12</v>
      </c>
      <c r="E198" t="s">
        <v>13</v>
      </c>
      <c r="F198">
        <v>8</v>
      </c>
      <c r="G198">
        <v>7805.22</v>
      </c>
      <c r="H198">
        <v>13</v>
      </c>
      <c r="I198">
        <v>91</v>
      </c>
      <c r="J198" t="s">
        <v>232</v>
      </c>
      <c r="K198" t="s">
        <v>231</v>
      </c>
      <c r="L198">
        <v>2</v>
      </c>
    </row>
    <row r="199" spans="1:12" x14ac:dyDescent="0.35">
      <c r="A199" t="s">
        <v>224</v>
      </c>
      <c r="B199" t="s">
        <v>22</v>
      </c>
      <c r="C199" t="s">
        <v>11</v>
      </c>
      <c r="D199" t="s">
        <v>17</v>
      </c>
      <c r="E199" t="s">
        <v>18</v>
      </c>
      <c r="F199">
        <v>90</v>
      </c>
      <c r="G199">
        <v>64936.83</v>
      </c>
      <c r="H199">
        <v>23</v>
      </c>
      <c r="I199">
        <v>51</v>
      </c>
      <c r="J199" t="s">
        <v>230</v>
      </c>
      <c r="K199" t="s">
        <v>234</v>
      </c>
      <c r="L199">
        <v>8</v>
      </c>
    </row>
    <row r="200" spans="1:12" x14ac:dyDescent="0.35">
      <c r="A200" t="s">
        <v>225</v>
      </c>
      <c r="B200" t="s">
        <v>36</v>
      </c>
      <c r="C200" t="s">
        <v>41</v>
      </c>
      <c r="D200" t="s">
        <v>32</v>
      </c>
      <c r="E200" t="s">
        <v>13</v>
      </c>
      <c r="F200">
        <v>21</v>
      </c>
      <c r="G200">
        <v>57025.03</v>
      </c>
      <c r="H200">
        <v>18</v>
      </c>
      <c r="I200">
        <v>50</v>
      </c>
      <c r="J200" t="s">
        <v>230</v>
      </c>
      <c r="K200" t="s">
        <v>236</v>
      </c>
      <c r="L200">
        <v>4</v>
      </c>
    </row>
    <row r="201" spans="1:12" x14ac:dyDescent="0.35">
      <c r="A201" t="s">
        <v>226</v>
      </c>
      <c r="B201" t="s">
        <v>36</v>
      </c>
      <c r="C201" t="s">
        <v>41</v>
      </c>
      <c r="D201" t="s">
        <v>23</v>
      </c>
      <c r="E201" t="s">
        <v>13</v>
      </c>
      <c r="F201">
        <v>39</v>
      </c>
      <c r="G201">
        <v>145631.91</v>
      </c>
      <c r="H201">
        <v>6</v>
      </c>
      <c r="I201">
        <v>49</v>
      </c>
      <c r="J201" t="s">
        <v>235</v>
      </c>
      <c r="K201" t="s">
        <v>237</v>
      </c>
      <c r="L201">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ED961-BDC0-4193-9035-EB721FCA2B2A}">
  <dimension ref="A1"/>
  <sheetViews>
    <sheetView showGridLines="0" tabSelected="1" zoomScale="72" workbookViewId="0">
      <selection activeCell="AA1" sqref="AA1"/>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33650-D965-4022-A527-477C3A5AC982}">
  <dimension ref="A1:H34"/>
  <sheetViews>
    <sheetView topLeftCell="A9" workbookViewId="0">
      <selection activeCell="AA13" sqref="AA13:AD23"/>
    </sheetView>
  </sheetViews>
  <sheetFormatPr defaultRowHeight="14.5" x14ac:dyDescent="0.35"/>
  <cols>
    <col min="1" max="1" width="12.453125" bestFit="1" customWidth="1"/>
    <col min="2" max="3" width="20.6328125" bestFit="1" customWidth="1"/>
    <col min="4" max="4" width="12.90625" bestFit="1" customWidth="1"/>
    <col min="5" max="5" width="20.6328125" bestFit="1" customWidth="1"/>
    <col min="7" max="7" width="12.90625" bestFit="1" customWidth="1"/>
    <col min="8" max="8" width="20.6328125" bestFit="1" customWidth="1"/>
  </cols>
  <sheetData>
    <row r="1" spans="1:8" x14ac:dyDescent="0.35">
      <c r="A1" t="s">
        <v>243</v>
      </c>
      <c r="B1" t="s">
        <v>241</v>
      </c>
      <c r="C1" t="s">
        <v>242</v>
      </c>
      <c r="D1" t="s">
        <v>244</v>
      </c>
      <c r="E1" t="s">
        <v>245</v>
      </c>
      <c r="G1" t="s">
        <v>245</v>
      </c>
    </row>
    <row r="2" spans="1:8" x14ac:dyDescent="0.35">
      <c r="A2" s="13">
        <v>200</v>
      </c>
      <c r="B2" s="3">
        <v>41.71</v>
      </c>
      <c r="C2" s="4">
        <v>79698.513500000015</v>
      </c>
      <c r="D2" s="3">
        <v>16.015000000000001</v>
      </c>
      <c r="E2" s="2">
        <v>70.375</v>
      </c>
      <c r="G2" s="1" t="s">
        <v>252</v>
      </c>
      <c r="H2" t="s">
        <v>245</v>
      </c>
    </row>
    <row r="3" spans="1:8" x14ac:dyDescent="0.35">
      <c r="G3" s="8" t="s">
        <v>32</v>
      </c>
      <c r="H3" s="2">
        <v>67.75555555555556</v>
      </c>
    </row>
    <row r="4" spans="1:8" x14ac:dyDescent="0.35">
      <c r="A4" s="5">
        <f>GETPIVOTDATA("Patient ID",$A$1)</f>
        <v>200</v>
      </c>
      <c r="B4" s="6">
        <f>GETPIVOTDATA("Age",$B$1)</f>
        <v>41.71</v>
      </c>
      <c r="C4" s="9">
        <f>GETPIVOTDATA("Treatment Cost",$C$1)</f>
        <v>79698.513500000015</v>
      </c>
      <c r="D4" s="6">
        <f>GETPIVOTDATA("Hospital Stay (Days)",$D$1)</f>
        <v>16.015000000000001</v>
      </c>
      <c r="E4" s="7">
        <f>GETPIVOTDATA("Recovery Score",$E$1)</f>
        <v>70.375</v>
      </c>
      <c r="G4" s="8" t="s">
        <v>23</v>
      </c>
      <c r="H4" s="2">
        <v>67.921052631578945</v>
      </c>
    </row>
    <row r="5" spans="1:8" x14ac:dyDescent="0.35">
      <c r="G5" s="8" t="s">
        <v>26</v>
      </c>
      <c r="H5" s="2">
        <v>70.2</v>
      </c>
    </row>
    <row r="6" spans="1:8" x14ac:dyDescent="0.35">
      <c r="A6" t="s">
        <v>246</v>
      </c>
      <c r="G6" s="8" t="s">
        <v>12</v>
      </c>
      <c r="H6" s="2">
        <v>72.521739130434781</v>
      </c>
    </row>
    <row r="7" spans="1:8" x14ac:dyDescent="0.35">
      <c r="A7" s="1" t="s">
        <v>1</v>
      </c>
      <c r="B7" t="s">
        <v>245</v>
      </c>
      <c r="C7" t="s">
        <v>249</v>
      </c>
      <c r="D7" t="s">
        <v>250</v>
      </c>
      <c r="G7" s="8" t="s">
        <v>17</v>
      </c>
      <c r="H7" s="2">
        <v>73.243902439024396</v>
      </c>
    </row>
    <row r="8" spans="1:8" x14ac:dyDescent="0.35">
      <c r="A8" s="8" t="s">
        <v>15</v>
      </c>
      <c r="B8" s="2">
        <v>73.131578947368425</v>
      </c>
      <c r="C8" s="3">
        <v>42</v>
      </c>
      <c r="D8" s="3">
        <v>100</v>
      </c>
      <c r="G8" s="8" t="s">
        <v>248</v>
      </c>
      <c r="H8" s="2">
        <v>70.375</v>
      </c>
    </row>
    <row r="9" spans="1:8" x14ac:dyDescent="0.35">
      <c r="A9" s="8" t="s">
        <v>36</v>
      </c>
      <c r="B9" s="2">
        <v>72.41935483870968</v>
      </c>
      <c r="C9" s="3">
        <v>41</v>
      </c>
      <c r="D9" s="3">
        <v>99</v>
      </c>
    </row>
    <row r="10" spans="1:8" x14ac:dyDescent="0.35">
      <c r="A10" s="8" t="s">
        <v>10</v>
      </c>
      <c r="B10" s="2">
        <v>71.804878048780495</v>
      </c>
      <c r="C10" s="3">
        <v>40</v>
      </c>
      <c r="D10" s="3">
        <v>99</v>
      </c>
      <c r="G10" s="12" t="s">
        <v>253</v>
      </c>
    </row>
    <row r="11" spans="1:8" x14ac:dyDescent="0.35">
      <c r="A11" s="8" t="s">
        <v>25</v>
      </c>
      <c r="B11" s="2">
        <v>70.5</v>
      </c>
      <c r="C11" s="3">
        <v>41</v>
      </c>
      <c r="D11" s="3">
        <v>96</v>
      </c>
      <c r="G11" s="1" t="s">
        <v>247</v>
      </c>
      <c r="H11" t="s">
        <v>245</v>
      </c>
    </row>
    <row r="12" spans="1:8" x14ac:dyDescent="0.35">
      <c r="A12" s="8" t="s">
        <v>22</v>
      </c>
      <c r="B12" s="2">
        <v>67.263157894736835</v>
      </c>
      <c r="C12" s="3">
        <v>40</v>
      </c>
      <c r="D12" s="3">
        <v>99</v>
      </c>
      <c r="G12" s="8" t="s">
        <v>235</v>
      </c>
      <c r="H12" s="2">
        <v>73.014492753623188</v>
      </c>
    </row>
    <row r="13" spans="1:8" x14ac:dyDescent="0.35">
      <c r="A13" s="8" t="s">
        <v>31</v>
      </c>
      <c r="B13" s="2">
        <v>66.392857142857139</v>
      </c>
      <c r="C13" s="3">
        <v>40</v>
      </c>
      <c r="D13" s="3">
        <v>96</v>
      </c>
      <c r="G13" s="8" t="s">
        <v>232</v>
      </c>
      <c r="H13" s="2">
        <v>68.661290322580641</v>
      </c>
    </row>
    <row r="14" spans="1:8" x14ac:dyDescent="0.35">
      <c r="A14" s="8" t="s">
        <v>248</v>
      </c>
      <c r="B14" s="2">
        <v>70.375</v>
      </c>
      <c r="C14" s="3">
        <v>40</v>
      </c>
      <c r="D14" s="3">
        <v>100</v>
      </c>
      <c r="G14" s="8" t="s">
        <v>230</v>
      </c>
      <c r="H14" s="2">
        <v>69.275362318840578</v>
      </c>
    </row>
    <row r="15" spans="1:8" x14ac:dyDescent="0.35">
      <c r="G15" s="8" t="s">
        <v>248</v>
      </c>
      <c r="H15" s="2">
        <v>70.375</v>
      </c>
    </row>
    <row r="16" spans="1:8" x14ac:dyDescent="0.35">
      <c r="A16" s="11" t="s">
        <v>251</v>
      </c>
    </row>
    <row r="17" spans="1:5" x14ac:dyDescent="0.35">
      <c r="A17" s="1" t="s">
        <v>2</v>
      </c>
      <c r="B17" t="s">
        <v>245</v>
      </c>
      <c r="D17" t="s">
        <v>2</v>
      </c>
      <c r="E17" t="s">
        <v>245</v>
      </c>
    </row>
    <row r="18" spans="1:5" x14ac:dyDescent="0.35">
      <c r="A18" s="8" t="s">
        <v>41</v>
      </c>
      <c r="B18" s="2">
        <v>73.291666666666671</v>
      </c>
      <c r="D18" t="s">
        <v>41</v>
      </c>
      <c r="E18" s="10">
        <v>73.291666666666671</v>
      </c>
    </row>
    <row r="19" spans="1:5" x14ac:dyDescent="0.35">
      <c r="A19" s="8" t="s">
        <v>11</v>
      </c>
      <c r="B19" s="2">
        <v>70.98</v>
      </c>
      <c r="D19" t="s">
        <v>11</v>
      </c>
      <c r="E19" s="10">
        <v>70.98</v>
      </c>
    </row>
    <row r="20" spans="1:5" x14ac:dyDescent="0.35">
      <c r="A20" s="8" t="s">
        <v>28</v>
      </c>
      <c r="B20" s="2">
        <v>70.021276595744681</v>
      </c>
      <c r="D20" t="s">
        <v>28</v>
      </c>
      <c r="E20" s="10">
        <v>70.021276595744681</v>
      </c>
    </row>
    <row r="21" spans="1:5" x14ac:dyDescent="0.35">
      <c r="A21" s="8" t="s">
        <v>16</v>
      </c>
      <c r="B21" s="2">
        <v>67.581818181818178</v>
      </c>
      <c r="D21" t="s">
        <v>16</v>
      </c>
      <c r="E21" s="10">
        <v>67.581818181818178</v>
      </c>
    </row>
    <row r="22" spans="1:5" x14ac:dyDescent="0.35">
      <c r="A22" s="8" t="s">
        <v>248</v>
      </c>
      <c r="B22" s="2">
        <v>70.375</v>
      </c>
    </row>
    <row r="24" spans="1:5" x14ac:dyDescent="0.35">
      <c r="A24" s="12" t="s">
        <v>254</v>
      </c>
      <c r="D24" t="s">
        <v>255</v>
      </c>
    </row>
    <row r="25" spans="1:5" x14ac:dyDescent="0.35">
      <c r="A25" s="1" t="s">
        <v>247</v>
      </c>
      <c r="B25" t="s">
        <v>245</v>
      </c>
      <c r="D25" s="1" t="s">
        <v>247</v>
      </c>
      <c r="E25" t="s">
        <v>245</v>
      </c>
    </row>
    <row r="26" spans="1:5" x14ac:dyDescent="0.35">
      <c r="A26" s="8" t="s">
        <v>13</v>
      </c>
      <c r="B26" s="7">
        <v>71.614035087719301</v>
      </c>
      <c r="D26" s="8" t="s">
        <v>239</v>
      </c>
      <c r="E26" s="2">
        <v>67.230769230769226</v>
      </c>
    </row>
    <row r="27" spans="1:5" x14ac:dyDescent="0.35">
      <c r="A27" s="8" t="s">
        <v>18</v>
      </c>
      <c r="B27" s="7">
        <v>72.283950617283949</v>
      </c>
      <c r="D27" s="8" t="s">
        <v>233</v>
      </c>
      <c r="E27" s="2">
        <v>68.242424242424249</v>
      </c>
    </row>
    <row r="28" spans="1:5" x14ac:dyDescent="0.35">
      <c r="A28" s="8" t="s">
        <v>29</v>
      </c>
      <c r="B28" s="7">
        <v>66.741935483870961</v>
      </c>
      <c r="D28" s="8" t="s">
        <v>237</v>
      </c>
      <c r="E28" s="2">
        <v>68.324324324324323</v>
      </c>
    </row>
    <row r="29" spans="1:5" x14ac:dyDescent="0.35">
      <c r="A29" s="8" t="s">
        <v>248</v>
      </c>
      <c r="B29" s="7">
        <v>70.375</v>
      </c>
      <c r="D29" s="8" t="s">
        <v>231</v>
      </c>
      <c r="E29" s="2">
        <v>70.400000000000006</v>
      </c>
    </row>
    <row r="30" spans="1:5" x14ac:dyDescent="0.35">
      <c r="D30" s="8" t="s">
        <v>236</v>
      </c>
      <c r="E30" s="2">
        <v>71.333333333333329</v>
      </c>
    </row>
    <row r="31" spans="1:5" x14ac:dyDescent="0.35">
      <c r="D31" s="8" t="s">
        <v>240</v>
      </c>
      <c r="E31" s="2">
        <v>72.222222222222229</v>
      </c>
    </row>
    <row r="32" spans="1:5" x14ac:dyDescent="0.35">
      <c r="D32" s="8" t="s">
        <v>238</v>
      </c>
      <c r="E32" s="2">
        <v>72.342857142857142</v>
      </c>
    </row>
    <row r="33" spans="4:5" x14ac:dyDescent="0.35">
      <c r="D33" s="8" t="s">
        <v>234</v>
      </c>
      <c r="E33" s="2">
        <v>72.961538461538467</v>
      </c>
    </row>
    <row r="34" spans="4:5" x14ac:dyDescent="0.35">
      <c r="D34" s="8" t="s">
        <v>248</v>
      </c>
      <c r="E34" s="2">
        <v>70.375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Patient Data</vt:lpstr>
      <vt:lpstr>Dashboard</vt:lpstr>
      <vt:lpstr>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Ezra HABUMUKIZA</cp:lastModifiedBy>
  <dcterms:created xsi:type="dcterms:W3CDTF">2026-01-16T14:10:57Z</dcterms:created>
  <dcterms:modified xsi:type="dcterms:W3CDTF">2026-01-18T09:35:35Z</dcterms:modified>
</cp:coreProperties>
</file>